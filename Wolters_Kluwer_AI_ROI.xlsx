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vidatk/Desktop/"/>
    </mc:Choice>
  </mc:AlternateContent>
  <xr:revisionPtr revIDLastSave="0" documentId="8_{670346B7-1AE3-364B-998E-7BC600AD5C65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AI Events_MD&amp;A" sheetId="8" r:id="rId1"/>
    <sheet name="Historical Data" sheetId="1" r:id="rId2"/>
    <sheet name="Forecast" sheetId="2" r:id="rId3"/>
    <sheet name="Revenue Build_Empty" sheetId="3" r:id="rId4"/>
    <sheet name="Integrated DCF" sheetId="4" r:id="rId5"/>
    <sheet name="DCF" sheetId="5" r:id="rId6"/>
    <sheet name="Shares" sheetId="6" r:id="rId7"/>
    <sheet name="WACC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K30" i="2"/>
  <c r="K24" i="2"/>
  <c r="K17" i="2"/>
  <c r="F76" i="1"/>
  <c r="E76" i="1"/>
  <c r="D76" i="1"/>
  <c r="C76" i="1"/>
  <c r="B76" i="1"/>
  <c r="F74" i="1"/>
  <c r="E74" i="1"/>
  <c r="D74" i="1"/>
  <c r="C74" i="1"/>
  <c r="B74" i="1"/>
  <c r="F69" i="1"/>
  <c r="E69" i="1"/>
  <c r="D69" i="1"/>
  <c r="C69" i="1"/>
  <c r="B69" i="1"/>
  <c r="F60" i="1"/>
  <c r="E60" i="1"/>
  <c r="D60" i="1"/>
  <c r="C60" i="1"/>
  <c r="B60" i="1"/>
  <c r="F18" i="1"/>
  <c r="F24" i="1" s="1"/>
  <c r="E18" i="1"/>
  <c r="B19" i="2" s="1"/>
  <c r="D18" i="1"/>
  <c r="D40" i="1" s="1"/>
  <c r="C18" i="1"/>
  <c r="C40" i="1" s="1"/>
  <c r="B18" i="1"/>
  <c r="B24" i="1" s="1"/>
  <c r="B33" i="1" s="1"/>
  <c r="B40" i="1"/>
  <c r="E19" i="7"/>
  <c r="E18" i="7"/>
  <c r="C13" i="7"/>
  <c r="E21" i="7" s="1"/>
  <c r="C8" i="7"/>
  <c r="D11" i="6"/>
  <c r="D12" i="6" s="1"/>
  <c r="G58" i="4" s="1"/>
  <c r="G59" i="4" s="1"/>
  <c r="D10" i="6"/>
  <c r="D18" i="6" s="1"/>
  <c r="B40" i="5"/>
  <c r="B13" i="5"/>
  <c r="B60" i="4"/>
  <c r="C69" i="4" s="1"/>
  <c r="B59" i="4"/>
  <c r="B58" i="4"/>
  <c r="H45" i="4"/>
  <c r="B44" i="4"/>
  <c r="B31" i="4"/>
  <c r="B27" i="4"/>
  <c r="E30" i="3"/>
  <c r="F30" i="3" s="1"/>
  <c r="G30" i="3" s="1"/>
  <c r="H30" i="3" s="1"/>
  <c r="I30" i="3" s="1"/>
  <c r="C29" i="3"/>
  <c r="B29" i="3"/>
  <c r="C23" i="3"/>
  <c r="C27" i="3" s="1"/>
  <c r="C31" i="3" s="1"/>
  <c r="B23" i="3"/>
  <c r="B27" i="3" s="1"/>
  <c r="B31" i="3" s="1"/>
  <c r="B32" i="3" s="1"/>
  <c r="D16" i="3"/>
  <c r="E17" i="3" s="1"/>
  <c r="E7" i="3" s="1"/>
  <c r="E14" i="3"/>
  <c r="E16" i="3" s="1"/>
  <c r="C10" i="3"/>
  <c r="C11" i="3" s="1"/>
  <c r="B10" i="3"/>
  <c r="D7" i="3"/>
  <c r="D29" i="3" s="1"/>
  <c r="D6" i="3"/>
  <c r="F228" i="2"/>
  <c r="I217" i="2"/>
  <c r="I229" i="2" s="1"/>
  <c r="H217" i="2"/>
  <c r="H229" i="2" s="1"/>
  <c r="I227" i="2" s="1"/>
  <c r="G217" i="2"/>
  <c r="G229" i="2" s="1"/>
  <c r="F217" i="2"/>
  <c r="F229" i="2" s="1"/>
  <c r="G227" i="2" s="1"/>
  <c r="E217" i="2"/>
  <c r="E229" i="2" s="1"/>
  <c r="F227" i="2" s="1"/>
  <c r="F230" i="2" s="1"/>
  <c r="D217" i="2"/>
  <c r="D229" i="2" s="1"/>
  <c r="D138" i="2"/>
  <c r="C72" i="2"/>
  <c r="B72" i="2"/>
  <c r="C71" i="2"/>
  <c r="C154" i="2" s="1"/>
  <c r="D150" i="2" s="1"/>
  <c r="B71" i="2"/>
  <c r="B154" i="2" s="1"/>
  <c r="C70" i="2"/>
  <c r="C147" i="2" s="1"/>
  <c r="D144" i="2" s="1"/>
  <c r="B70" i="2"/>
  <c r="B147" i="2" s="1"/>
  <c r="C69" i="2"/>
  <c r="D69" i="2" s="1"/>
  <c r="E69" i="2" s="1"/>
  <c r="F69" i="2" s="1"/>
  <c r="G69" i="2" s="1"/>
  <c r="H69" i="2" s="1"/>
  <c r="I69" i="2" s="1"/>
  <c r="B69" i="2"/>
  <c r="C67" i="2"/>
  <c r="B67" i="2"/>
  <c r="C65" i="2"/>
  <c r="B65" i="2"/>
  <c r="C64" i="2"/>
  <c r="D168" i="2" s="1"/>
  <c r="B64" i="2"/>
  <c r="B162" i="2" s="1"/>
  <c r="C63" i="2"/>
  <c r="D166" i="2" s="1"/>
  <c r="D26" i="2" s="1"/>
  <c r="B63" i="2"/>
  <c r="B159" i="2" s="1"/>
  <c r="C62" i="2"/>
  <c r="C121" i="2" s="1"/>
  <c r="D119" i="2" s="1"/>
  <c r="B62" i="2"/>
  <c r="B121" i="2" s="1"/>
  <c r="C61" i="2"/>
  <c r="B61" i="2"/>
  <c r="C60" i="2"/>
  <c r="B60" i="2"/>
  <c r="C58" i="2"/>
  <c r="B58" i="2"/>
  <c r="C56" i="2"/>
  <c r="B56" i="2"/>
  <c r="C55" i="2"/>
  <c r="C130" i="2" s="1"/>
  <c r="D127" i="2" s="1"/>
  <c r="B55" i="2"/>
  <c r="B130" i="2" s="1"/>
  <c r="C54" i="2"/>
  <c r="B54" i="2"/>
  <c r="C53" i="2"/>
  <c r="C114" i="2" s="1"/>
  <c r="D112" i="2" s="1"/>
  <c r="B53" i="2"/>
  <c r="B114" i="2" s="1"/>
  <c r="C52" i="2"/>
  <c r="C107" i="2" s="1"/>
  <c r="D105" i="2" s="1"/>
  <c r="B52" i="2"/>
  <c r="B107" i="2" s="1"/>
  <c r="C51" i="2"/>
  <c r="D170" i="2" s="1"/>
  <c r="D25" i="2" s="1"/>
  <c r="B51" i="2"/>
  <c r="C46" i="2"/>
  <c r="B46" i="2"/>
  <c r="C35" i="2"/>
  <c r="B15" i="4" s="1"/>
  <c r="B35" i="2"/>
  <c r="C34" i="2"/>
  <c r="B34" i="2"/>
  <c r="C32" i="2"/>
  <c r="B32" i="2"/>
  <c r="B135" i="2" s="1"/>
  <c r="C29" i="2"/>
  <c r="B29" i="2"/>
  <c r="C27" i="2"/>
  <c r="B27" i="2"/>
  <c r="C26" i="2"/>
  <c r="B26" i="2"/>
  <c r="C25" i="2"/>
  <c r="B25" i="2"/>
  <c r="C23" i="2"/>
  <c r="B23" i="2"/>
  <c r="C22" i="2"/>
  <c r="B22" i="2"/>
  <c r="C21" i="2"/>
  <c r="B21" i="2"/>
  <c r="C20" i="2"/>
  <c r="B20" i="2"/>
  <c r="C18" i="2"/>
  <c r="B18" i="2"/>
  <c r="C17" i="2"/>
  <c r="B13" i="4" s="1"/>
  <c r="B17" i="2"/>
  <c r="C74" i="2"/>
  <c r="B74" i="2"/>
  <c r="F46" i="1"/>
  <c r="E46" i="1"/>
  <c r="D46" i="1"/>
  <c r="C46" i="1"/>
  <c r="B46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39" i="1"/>
  <c r="E39" i="1"/>
  <c r="D39" i="1"/>
  <c r="C39" i="1"/>
  <c r="D8" i="3" l="1"/>
  <c r="D9" i="3"/>
  <c r="F14" i="3"/>
  <c r="G14" i="3" s="1"/>
  <c r="G16" i="3" s="1"/>
  <c r="D228" i="2"/>
  <c r="D230" i="2"/>
  <c r="I228" i="2"/>
  <c r="C41" i="2"/>
  <c r="B42" i="2"/>
  <c r="B41" i="2"/>
  <c r="C40" i="2"/>
  <c r="C24" i="1"/>
  <c r="B28" i="1"/>
  <c r="B30" i="1" s="1"/>
  <c r="C28" i="1"/>
  <c r="F40" i="1"/>
  <c r="B44" i="1"/>
  <c r="C19" i="2"/>
  <c r="C39" i="2" s="1"/>
  <c r="B16" i="4"/>
  <c r="F33" i="1"/>
  <c r="C33" i="2" s="1"/>
  <c r="C24" i="2"/>
  <c r="B17" i="4" s="1"/>
  <c r="B18" i="4" s="1"/>
  <c r="F28" i="1"/>
  <c r="F44" i="1"/>
  <c r="B45" i="1"/>
  <c r="D24" i="1"/>
  <c r="E24" i="1"/>
  <c r="E40" i="1"/>
  <c r="B28" i="4"/>
  <c r="B39" i="2"/>
  <c r="C162" i="2"/>
  <c r="D160" i="2" s="1"/>
  <c r="D162" i="2" s="1"/>
  <c r="D64" i="2" s="1"/>
  <c r="E168" i="2" s="1"/>
  <c r="D17" i="2"/>
  <c r="D65" i="2" s="1"/>
  <c r="D85" i="2" s="1"/>
  <c r="B69" i="4"/>
  <c r="B45" i="2"/>
  <c r="H227" i="2"/>
  <c r="G228" i="2"/>
  <c r="B14" i="5"/>
  <c r="C32" i="3"/>
  <c r="C35" i="3"/>
  <c r="C135" i="2"/>
  <c r="B25" i="4"/>
  <c r="C42" i="2"/>
  <c r="D129" i="2"/>
  <c r="B71" i="4"/>
  <c r="C71" i="4"/>
  <c r="C13" i="5"/>
  <c r="E8" i="3"/>
  <c r="E9" i="3" s="1"/>
  <c r="C45" i="2"/>
  <c r="F16" i="3"/>
  <c r="C38" i="2"/>
  <c r="E227" i="2"/>
  <c r="D23" i="3"/>
  <c r="D27" i="3" s="1"/>
  <c r="D31" i="3" s="1"/>
  <c r="C14" i="5" s="1"/>
  <c r="E6" i="3"/>
  <c r="B32" i="4"/>
  <c r="B40" i="2"/>
  <c r="G230" i="2"/>
  <c r="D10" i="3"/>
  <c r="D11" i="3" s="1"/>
  <c r="B33" i="3"/>
  <c r="B34" i="3" s="1"/>
  <c r="E29" i="3"/>
  <c r="F4" i="4"/>
  <c r="F4" i="5"/>
  <c r="C159" i="2"/>
  <c r="D157" i="2" s="1"/>
  <c r="D159" i="2" s="1"/>
  <c r="I230" i="2"/>
  <c r="B18" i="5"/>
  <c r="G17" i="3" l="1"/>
  <c r="G7" i="3" s="1"/>
  <c r="H14" i="3"/>
  <c r="D54" i="2"/>
  <c r="E160" i="2"/>
  <c r="E162" i="2" s="1"/>
  <c r="F160" i="2" s="1"/>
  <c r="F162" i="2" s="1"/>
  <c r="C33" i="1"/>
  <c r="C44" i="1"/>
  <c r="D89" i="2"/>
  <c r="C43" i="2"/>
  <c r="B20" i="4"/>
  <c r="B22" i="4" s="1"/>
  <c r="B30" i="4" s="1"/>
  <c r="B39" i="4" s="1"/>
  <c r="C30" i="1"/>
  <c r="C45" i="1"/>
  <c r="D23" i="2"/>
  <c r="D81" i="2"/>
  <c r="D151" i="2" s="1"/>
  <c r="D61" i="2"/>
  <c r="D135" i="2"/>
  <c r="D32" i="2" s="1"/>
  <c r="F30" i="1"/>
  <c r="C30" i="2" s="1"/>
  <c r="C216" i="2" s="1"/>
  <c r="C28" i="2"/>
  <c r="C44" i="2" s="1"/>
  <c r="F45" i="1"/>
  <c r="E44" i="1"/>
  <c r="E33" i="1"/>
  <c r="B33" i="2" s="1"/>
  <c r="B24" i="2"/>
  <c r="B43" i="2" s="1"/>
  <c r="E28" i="1"/>
  <c r="D28" i="1"/>
  <c r="D44" i="1"/>
  <c r="D33" i="1"/>
  <c r="D107" i="2"/>
  <c r="D52" i="2" s="1"/>
  <c r="D18" i="2"/>
  <c r="D114" i="2" s="1"/>
  <c r="D53" i="2" s="1"/>
  <c r="D22" i="2"/>
  <c r="D34" i="2"/>
  <c r="D45" i="2" s="1"/>
  <c r="D21" i="2"/>
  <c r="E17" i="2"/>
  <c r="F17" i="2" s="1"/>
  <c r="D88" i="2"/>
  <c r="D139" i="2" s="1"/>
  <c r="D20" i="2"/>
  <c r="D60" i="2"/>
  <c r="C13" i="4"/>
  <c r="C14" i="4" s="1"/>
  <c r="D121" i="2"/>
  <c r="E119" i="2" s="1"/>
  <c r="D13" i="5"/>
  <c r="D26" i="5"/>
  <c r="B26" i="5"/>
  <c r="H26" i="5"/>
  <c r="F26" i="5"/>
  <c r="E26" i="5"/>
  <c r="G26" i="5"/>
  <c r="C26" i="5"/>
  <c r="E230" i="2"/>
  <c r="E228" i="2"/>
  <c r="H230" i="2"/>
  <c r="H228" i="2"/>
  <c r="E157" i="2"/>
  <c r="E159" i="2" s="1"/>
  <c r="D63" i="2"/>
  <c r="E166" i="2" s="1"/>
  <c r="E26" i="2" s="1"/>
  <c r="D35" i="3"/>
  <c r="I14" i="3"/>
  <c r="I16" i="3" s="1"/>
  <c r="H16" i="3"/>
  <c r="I17" i="3" s="1"/>
  <c r="I7" i="3" s="1"/>
  <c r="D113" i="2"/>
  <c r="B15" i="5"/>
  <c r="C33" i="3"/>
  <c r="B16" i="5" s="1"/>
  <c r="G38" i="4"/>
  <c r="F38" i="4"/>
  <c r="E38" i="4"/>
  <c r="C38" i="4"/>
  <c r="H38" i="4"/>
  <c r="D38" i="4"/>
  <c r="B38" i="4"/>
  <c r="D32" i="3"/>
  <c r="G8" i="3"/>
  <c r="G9" i="3" s="1"/>
  <c r="G29" i="3"/>
  <c r="E10" i="3"/>
  <c r="E11" i="3" s="1"/>
  <c r="F6" i="3"/>
  <c r="E23" i="3"/>
  <c r="E27" i="3" s="1"/>
  <c r="E31" i="3" s="1"/>
  <c r="D14" i="5" s="1"/>
  <c r="C18" i="5"/>
  <c r="F17" i="3"/>
  <c r="F7" i="3" s="1"/>
  <c r="C19" i="5"/>
  <c r="B19" i="5"/>
  <c r="B20" i="5" s="1"/>
  <c r="D42" i="2" l="1"/>
  <c r="E64" i="2"/>
  <c r="F168" i="2" s="1"/>
  <c r="E89" i="2"/>
  <c r="D90" i="2"/>
  <c r="C27" i="4"/>
  <c r="C28" i="4" s="1"/>
  <c r="D224" i="2"/>
  <c r="D35" i="2"/>
  <c r="C15" i="4" s="1"/>
  <c r="C16" i="4" s="1"/>
  <c r="B40" i="4"/>
  <c r="E21" i="2"/>
  <c r="E20" i="2"/>
  <c r="D62" i="2"/>
  <c r="C31" i="4" s="1"/>
  <c r="D133" i="2"/>
  <c r="D140" i="2" s="1"/>
  <c r="D141" i="2" s="1"/>
  <c r="E138" i="2" s="1"/>
  <c r="E34" i="2"/>
  <c r="E45" i="2" s="1"/>
  <c r="E23" i="2"/>
  <c r="D120" i="2"/>
  <c r="E121" i="2"/>
  <c r="F119" i="2" s="1"/>
  <c r="E112" i="2"/>
  <c r="E105" i="2"/>
  <c r="D106" i="2"/>
  <c r="D45" i="1"/>
  <c r="D30" i="1"/>
  <c r="C218" i="2"/>
  <c r="C221" i="2"/>
  <c r="E45" i="1"/>
  <c r="B28" i="2"/>
  <c r="B44" i="2" s="1"/>
  <c r="E30" i="1"/>
  <c r="B30" i="2" s="1"/>
  <c r="B216" i="2" s="1"/>
  <c r="D19" i="2"/>
  <c r="D24" i="2" s="1"/>
  <c r="C17" i="4" s="1"/>
  <c r="C20" i="4" s="1"/>
  <c r="D128" i="2"/>
  <c r="D130" i="2" s="1"/>
  <c r="D55" i="2" s="1"/>
  <c r="E60" i="2"/>
  <c r="E18" i="2"/>
  <c r="E61" i="2"/>
  <c r="E65" i="2"/>
  <c r="E85" i="2" s="1"/>
  <c r="E107" i="2"/>
  <c r="E52" i="2" s="1"/>
  <c r="E22" i="2"/>
  <c r="E88" i="2"/>
  <c r="D27" i="4" s="1"/>
  <c r="E81" i="2"/>
  <c r="E151" i="2" s="1"/>
  <c r="E54" i="2"/>
  <c r="D13" i="4"/>
  <c r="D14" i="4" s="1"/>
  <c r="E135" i="2"/>
  <c r="E32" i="2" s="1"/>
  <c r="F13" i="5"/>
  <c r="I8" i="3"/>
  <c r="I9" i="3"/>
  <c r="I29" i="3"/>
  <c r="C25" i="4"/>
  <c r="D80" i="2"/>
  <c r="C15" i="5"/>
  <c r="D33" i="3"/>
  <c r="C16" i="5" s="1"/>
  <c r="G160" i="2"/>
  <c r="G162" i="2" s="1"/>
  <c r="F64" i="2"/>
  <c r="G168" i="2" s="1"/>
  <c r="H17" i="3"/>
  <c r="H7" i="3" s="1"/>
  <c r="F29" i="3"/>
  <c r="F8" i="3"/>
  <c r="F9" i="3" s="1"/>
  <c r="F10" i="3" s="1"/>
  <c r="F11" i="3" s="1"/>
  <c r="F23" i="3"/>
  <c r="F27" i="3" s="1"/>
  <c r="F31" i="3" s="1"/>
  <c r="E14" i="5" s="1"/>
  <c r="G6" i="3"/>
  <c r="C34" i="3"/>
  <c r="B17" i="5" s="1"/>
  <c r="D19" i="5"/>
  <c r="D82" i="2"/>
  <c r="E35" i="3"/>
  <c r="D18" i="5"/>
  <c r="F157" i="2"/>
  <c r="F159" i="2" s="1"/>
  <c r="E63" i="2"/>
  <c r="F166" i="2" s="1"/>
  <c r="F26" i="2" s="1"/>
  <c r="C20" i="5"/>
  <c r="F135" i="2"/>
  <c r="F121" i="2"/>
  <c r="E13" i="4"/>
  <c r="F34" i="2"/>
  <c r="F89" i="2"/>
  <c r="G17" i="2"/>
  <c r="F54" i="2"/>
  <c r="F65" i="2"/>
  <c r="F18" i="2"/>
  <c r="F114" i="2" s="1"/>
  <c r="F88" i="2"/>
  <c r="F20" i="2"/>
  <c r="F60" i="2"/>
  <c r="F21" i="2"/>
  <c r="F81" i="2"/>
  <c r="F61" i="2"/>
  <c r="F22" i="2"/>
  <c r="F107" i="2"/>
  <c r="F23" i="2"/>
  <c r="E32" i="3"/>
  <c r="F19" i="2" l="1"/>
  <c r="D20" i="5"/>
  <c r="E14" i="4"/>
  <c r="E62" i="2"/>
  <c r="E83" i="2" s="1"/>
  <c r="D67" i="2"/>
  <c r="E120" i="2"/>
  <c r="D28" i="4"/>
  <c r="C22" i="4"/>
  <c r="D83" i="2"/>
  <c r="E127" i="2"/>
  <c r="E129" i="2" s="1"/>
  <c r="E133" i="2" s="1"/>
  <c r="E140" i="2" s="1"/>
  <c r="D56" i="2"/>
  <c r="D84" i="2" s="1"/>
  <c r="D43" i="2"/>
  <c r="C18" i="4"/>
  <c r="E224" i="2"/>
  <c r="E42" i="2"/>
  <c r="E35" i="2"/>
  <c r="D15" i="4" s="1"/>
  <c r="D16" i="4" s="1"/>
  <c r="D33" i="2"/>
  <c r="D28" i="2"/>
  <c r="D29" i="2" s="1"/>
  <c r="D30" i="2" s="1"/>
  <c r="D145" i="2" s="1"/>
  <c r="F42" i="2"/>
  <c r="B218" i="2"/>
  <c r="B221" i="2"/>
  <c r="F85" i="2"/>
  <c r="F105" i="2"/>
  <c r="F106" i="2" s="1"/>
  <c r="E139" i="2"/>
  <c r="E106" i="2"/>
  <c r="E128" i="2"/>
  <c r="E114" i="2"/>
  <c r="E19" i="2"/>
  <c r="E24" i="2" s="1"/>
  <c r="D17" i="4" s="1"/>
  <c r="E90" i="2"/>
  <c r="E33" i="3"/>
  <c r="D16" i="5" s="1"/>
  <c r="D15" i="5"/>
  <c r="F224" i="2"/>
  <c r="F151" i="2"/>
  <c r="D34" i="3"/>
  <c r="C17" i="5" s="1"/>
  <c r="C27" i="5" s="1"/>
  <c r="C28" i="5" s="1"/>
  <c r="E19" i="5"/>
  <c r="F32" i="2"/>
  <c r="F35" i="2" s="1"/>
  <c r="E15" i="4" s="1"/>
  <c r="E16" i="4" s="1"/>
  <c r="F63" i="2"/>
  <c r="G166" i="2" s="1"/>
  <c r="G26" i="2" s="1"/>
  <c r="G157" i="2"/>
  <c r="G159" i="2" s="1"/>
  <c r="E13" i="5"/>
  <c r="F32" i="3"/>
  <c r="F35" i="3"/>
  <c r="G105" i="2"/>
  <c r="F52" i="2"/>
  <c r="F128" i="2"/>
  <c r="F139" i="2"/>
  <c r="E27" i="4"/>
  <c r="E28" i="4" s="1"/>
  <c r="F90" i="2"/>
  <c r="C32" i="4"/>
  <c r="C26" i="4"/>
  <c r="H13" i="5"/>
  <c r="F13" i="4"/>
  <c r="F14" i="4" s="1"/>
  <c r="G89" i="2"/>
  <c r="H17" i="2"/>
  <c r="G81" i="2"/>
  <c r="G54" i="2"/>
  <c r="G65" i="2"/>
  <c r="G85" i="2" s="1"/>
  <c r="G34" i="2"/>
  <c r="G18" i="2"/>
  <c r="G114" i="2" s="1"/>
  <c r="G88" i="2"/>
  <c r="G20" i="2"/>
  <c r="G60" i="2"/>
  <c r="G21" i="2"/>
  <c r="G121" i="2"/>
  <c r="G61" i="2"/>
  <c r="G22" i="2"/>
  <c r="G135" i="2"/>
  <c r="G107" i="2"/>
  <c r="G23" i="2"/>
  <c r="E80" i="2"/>
  <c r="D25" i="4"/>
  <c r="G10" i="3"/>
  <c r="G11" i="3" s="1"/>
  <c r="H6" i="3"/>
  <c r="G23" i="3"/>
  <c r="G27" i="3" s="1"/>
  <c r="G31" i="3" s="1"/>
  <c r="G35" i="3" s="1"/>
  <c r="F24" i="2"/>
  <c r="F45" i="2"/>
  <c r="G112" i="2"/>
  <c r="F53" i="2"/>
  <c r="F120" i="2"/>
  <c r="G119" i="2"/>
  <c r="F62" i="2"/>
  <c r="F83" i="2" s="1"/>
  <c r="H29" i="3"/>
  <c r="H8" i="3"/>
  <c r="H9" i="3" s="1"/>
  <c r="B27" i="5"/>
  <c r="B28" i="5" s="1"/>
  <c r="B21" i="5"/>
  <c r="H160" i="2"/>
  <c r="H162" i="2" s="1"/>
  <c r="G64" i="2"/>
  <c r="H168" i="2" s="1"/>
  <c r="E67" i="2" l="1"/>
  <c r="C21" i="5"/>
  <c r="C30" i="4"/>
  <c r="C39" i="4" s="1"/>
  <c r="C40" i="4" s="1"/>
  <c r="E141" i="2"/>
  <c r="D216" i="2"/>
  <c r="E33" i="2"/>
  <c r="D79" i="2"/>
  <c r="D86" i="2" s="1"/>
  <c r="E43" i="2"/>
  <c r="E113" i="2"/>
  <c r="E53" i="2"/>
  <c r="F82" i="2" s="1"/>
  <c r="F112" i="2"/>
  <c r="F113" i="2" s="1"/>
  <c r="G42" i="2"/>
  <c r="G19" i="2"/>
  <c r="G24" i="2" s="1"/>
  <c r="F138" i="2"/>
  <c r="E56" i="2"/>
  <c r="E84" i="2" s="1"/>
  <c r="E15" i="5"/>
  <c r="F33" i="3"/>
  <c r="E16" i="5" s="1"/>
  <c r="F18" i="5"/>
  <c r="E18" i="5"/>
  <c r="E20" i="5" s="1"/>
  <c r="H135" i="2"/>
  <c r="H121" i="2"/>
  <c r="G13" i="4"/>
  <c r="G14" i="4" s="1"/>
  <c r="H23" i="2"/>
  <c r="H22" i="2"/>
  <c r="H21" i="2"/>
  <c r="H20" i="2"/>
  <c r="H18" i="2"/>
  <c r="H114" i="2" s="1"/>
  <c r="H81" i="2"/>
  <c r="H107" i="2"/>
  <c r="H88" i="2"/>
  <c r="H65" i="2"/>
  <c r="H85" i="2" s="1"/>
  <c r="H34" i="2"/>
  <c r="H60" i="2"/>
  <c r="H61" i="2"/>
  <c r="H89" i="2"/>
  <c r="H54" i="2"/>
  <c r="I17" i="2"/>
  <c r="E34" i="3"/>
  <c r="D17" i="5" s="1"/>
  <c r="F67" i="2"/>
  <c r="G106" i="2"/>
  <c r="H105" i="2"/>
  <c r="G52" i="2"/>
  <c r="E130" i="2"/>
  <c r="E31" i="4"/>
  <c r="G224" i="2"/>
  <c r="G151" i="2"/>
  <c r="G32" i="2"/>
  <c r="E25" i="4"/>
  <c r="F80" i="2"/>
  <c r="F14" i="5"/>
  <c r="G32" i="3"/>
  <c r="G113" i="2"/>
  <c r="H112" i="2"/>
  <c r="G53" i="2"/>
  <c r="D221" i="2"/>
  <c r="D218" i="2"/>
  <c r="H157" i="2"/>
  <c r="H159" i="2" s="1"/>
  <c r="G63" i="2"/>
  <c r="H166" i="2" s="1"/>
  <c r="H26" i="2" s="1"/>
  <c r="G13" i="5"/>
  <c r="H18" i="5" s="1"/>
  <c r="D18" i="4"/>
  <c r="D20" i="4"/>
  <c r="D22" i="4" s="1"/>
  <c r="H23" i="3"/>
  <c r="H27" i="3" s="1"/>
  <c r="I6" i="3"/>
  <c r="H10" i="3"/>
  <c r="H11" i="3" s="1"/>
  <c r="G45" i="2"/>
  <c r="E17" i="4"/>
  <c r="F33" i="2"/>
  <c r="F43" i="2"/>
  <c r="F27" i="4"/>
  <c r="F28" i="4" s="1"/>
  <c r="G90" i="2"/>
  <c r="G139" i="2"/>
  <c r="G128" i="2"/>
  <c r="I160" i="2"/>
  <c r="I162" i="2" s="1"/>
  <c r="I64" i="2" s="1"/>
  <c r="H64" i="2"/>
  <c r="I168" i="2" s="1"/>
  <c r="G120" i="2"/>
  <c r="H119" i="2"/>
  <c r="G62" i="2"/>
  <c r="G83" i="2" s="1"/>
  <c r="D95" i="2" l="1"/>
  <c r="D146" i="2" s="1"/>
  <c r="D147" i="2" s="1"/>
  <c r="H42" i="2"/>
  <c r="D31" i="4"/>
  <c r="E82" i="2"/>
  <c r="H19" i="2"/>
  <c r="H24" i="2" s="1"/>
  <c r="H43" i="2" s="1"/>
  <c r="E144" i="2"/>
  <c r="D70" i="2"/>
  <c r="H31" i="3"/>
  <c r="C57" i="5"/>
  <c r="I105" i="2"/>
  <c r="H106" i="2"/>
  <c r="H52" i="2"/>
  <c r="D94" i="2"/>
  <c r="H120" i="2"/>
  <c r="I119" i="2"/>
  <c r="H62" i="2"/>
  <c r="H83" i="2" s="1"/>
  <c r="F25" i="4"/>
  <c r="G80" i="2"/>
  <c r="G43" i="2"/>
  <c r="F17" i="4"/>
  <c r="G33" i="2"/>
  <c r="H151" i="2"/>
  <c r="H224" i="2"/>
  <c r="G67" i="2"/>
  <c r="F31" i="4"/>
  <c r="G82" i="2"/>
  <c r="H113" i="2"/>
  <c r="I112" i="2"/>
  <c r="H53" i="2"/>
  <c r="H32" i="2"/>
  <c r="H35" i="2" s="1"/>
  <c r="G15" i="4" s="1"/>
  <c r="G16" i="4" s="1"/>
  <c r="E20" i="4"/>
  <c r="E22" i="4" s="1"/>
  <c r="E18" i="4"/>
  <c r="F127" i="2"/>
  <c r="E55" i="2"/>
  <c r="F34" i="3"/>
  <c r="E17" i="5" s="1"/>
  <c r="E27" i="5" s="1"/>
  <c r="E28" i="5" s="1"/>
  <c r="G35" i="2"/>
  <c r="F15" i="4" s="1"/>
  <c r="F16" i="4" s="1"/>
  <c r="G34" i="3"/>
  <c r="F17" i="5" s="1"/>
  <c r="F27" i="5" s="1"/>
  <c r="F28" i="5" s="1"/>
  <c r="G33" i="3"/>
  <c r="F16" i="5" s="1"/>
  <c r="F15" i="5"/>
  <c r="H45" i="2"/>
  <c r="F19" i="5"/>
  <c r="F20" i="5" s="1"/>
  <c r="D27" i="5"/>
  <c r="D28" i="5" s="1"/>
  <c r="E21" i="5"/>
  <c r="D21" i="5"/>
  <c r="G18" i="5"/>
  <c r="I10" i="3"/>
  <c r="I11" i="3" s="1"/>
  <c r="I23" i="3"/>
  <c r="I27" i="3" s="1"/>
  <c r="I31" i="3" s="1"/>
  <c r="I157" i="2"/>
  <c r="I159" i="2" s="1"/>
  <c r="I63" i="2" s="1"/>
  <c r="H63" i="2"/>
  <c r="I166" i="2" s="1"/>
  <c r="I26" i="2" s="1"/>
  <c r="E32" i="4"/>
  <c r="H13" i="4"/>
  <c r="H14" i="4" s="1"/>
  <c r="I81" i="2"/>
  <c r="I65" i="2"/>
  <c r="I85" i="2" s="1"/>
  <c r="I61" i="2"/>
  <c r="I60" i="2"/>
  <c r="I54" i="2"/>
  <c r="I135" i="2"/>
  <c r="I18" i="2"/>
  <c r="I114" i="2" s="1"/>
  <c r="I88" i="2"/>
  <c r="I20" i="2"/>
  <c r="I21" i="2"/>
  <c r="I121" i="2"/>
  <c r="I22" i="2"/>
  <c r="I42" i="2" s="1"/>
  <c r="I107" i="2"/>
  <c r="I23" i="2"/>
  <c r="I89" i="2"/>
  <c r="I34" i="2"/>
  <c r="H90" i="2"/>
  <c r="H128" i="2"/>
  <c r="G27" i="4"/>
  <c r="G28" i="4" s="1"/>
  <c r="H139" i="2"/>
  <c r="G17" i="4" l="1"/>
  <c r="C56" i="5"/>
  <c r="B58" i="5"/>
  <c r="D26" i="4"/>
  <c r="D30" i="4" s="1"/>
  <c r="D39" i="4" s="1"/>
  <c r="D40" i="4" s="1"/>
  <c r="D32" i="4"/>
  <c r="E26" i="4"/>
  <c r="E30" i="4" s="1"/>
  <c r="E39" i="4" s="1"/>
  <c r="E40" i="4" s="1"/>
  <c r="H67" i="2"/>
  <c r="I224" i="2"/>
  <c r="I151" i="2"/>
  <c r="I120" i="2"/>
  <c r="I62" i="2"/>
  <c r="I83" i="2" s="1"/>
  <c r="F32" i="4"/>
  <c r="C58" i="5"/>
  <c r="E57" i="5"/>
  <c r="E56" i="5"/>
  <c r="F57" i="5"/>
  <c r="B55" i="5"/>
  <c r="D58" i="5"/>
  <c r="G20" i="4"/>
  <c r="G22" i="4" s="1"/>
  <c r="G18" i="4"/>
  <c r="G25" i="4"/>
  <c r="H80" i="2"/>
  <c r="D56" i="5"/>
  <c r="F59" i="5"/>
  <c r="F56" i="5"/>
  <c r="E58" i="5"/>
  <c r="H14" i="5"/>
  <c r="H19" i="5" s="1"/>
  <c r="H20" i="5" s="1"/>
  <c r="B35" i="5" s="1"/>
  <c r="I32" i="3"/>
  <c r="I45" i="2"/>
  <c r="I19" i="2"/>
  <c r="I24" i="2" s="1"/>
  <c r="B56" i="5"/>
  <c r="C59" i="5"/>
  <c r="B57" i="5"/>
  <c r="G14" i="5"/>
  <c r="H32" i="3"/>
  <c r="I35" i="3"/>
  <c r="H35" i="3"/>
  <c r="F21" i="5"/>
  <c r="F18" i="4"/>
  <c r="F20" i="4"/>
  <c r="F22" i="4" s="1"/>
  <c r="D223" i="2"/>
  <c r="D152" i="2"/>
  <c r="D96" i="2"/>
  <c r="D98" i="2" s="1"/>
  <c r="D51" i="2" s="1"/>
  <c r="E59" i="5"/>
  <c r="F58" i="5"/>
  <c r="F55" i="5"/>
  <c r="I52" i="2"/>
  <c r="I106" i="2"/>
  <c r="F26" i="4"/>
  <c r="F129" i="2"/>
  <c r="F133" i="2" s="1"/>
  <c r="F140" i="2" s="1"/>
  <c r="F141" i="2" s="1"/>
  <c r="E55" i="5"/>
  <c r="C55" i="5"/>
  <c r="D59" i="5"/>
  <c r="H27" i="4"/>
  <c r="H28" i="4" s="1"/>
  <c r="I90" i="2"/>
  <c r="I128" i="2"/>
  <c r="I139" i="2"/>
  <c r="I113" i="2"/>
  <c r="I53" i="2"/>
  <c r="I32" i="2"/>
  <c r="I35" i="2" s="1"/>
  <c r="H15" i="4" s="1"/>
  <c r="H33" i="2"/>
  <c r="G31" i="4"/>
  <c r="H82" i="2"/>
  <c r="D57" i="5"/>
  <c r="D55" i="5"/>
  <c r="B59" i="5"/>
  <c r="I67" i="2" l="1"/>
  <c r="F30" i="4"/>
  <c r="F39" i="4" s="1"/>
  <c r="F40" i="4" s="1"/>
  <c r="F130" i="2"/>
  <c r="H16" i="4"/>
  <c r="H44" i="4"/>
  <c r="H46" i="4" s="1"/>
  <c r="H47" i="4" s="1"/>
  <c r="G138" i="2"/>
  <c r="F56" i="2"/>
  <c r="F84" i="2" s="1"/>
  <c r="I80" i="2"/>
  <c r="H25" i="4"/>
  <c r="I33" i="3"/>
  <c r="H16" i="5" s="1"/>
  <c r="H15" i="5"/>
  <c r="D58" i="2"/>
  <c r="E170" i="2"/>
  <c r="E25" i="2" s="1"/>
  <c r="E28" i="2" s="1"/>
  <c r="G32" i="4"/>
  <c r="I82" i="2"/>
  <c r="H31" i="4"/>
  <c r="H32" i="4" s="1"/>
  <c r="G15" i="5"/>
  <c r="H33" i="3"/>
  <c r="G16" i="5" s="1"/>
  <c r="H34" i="3"/>
  <c r="G17" i="5" s="1"/>
  <c r="G19" i="5"/>
  <c r="G20" i="5" s="1"/>
  <c r="B36" i="5"/>
  <c r="H17" i="4"/>
  <c r="I43" i="2"/>
  <c r="I33" i="2"/>
  <c r="G26" i="4"/>
  <c r="G30" i="4" s="1"/>
  <c r="G39" i="4" s="1"/>
  <c r="G40" i="4" s="1"/>
  <c r="H26" i="4" l="1"/>
  <c r="F55" i="2"/>
  <c r="G127" i="2"/>
  <c r="D72" i="2"/>
  <c r="D71" i="2" s="1"/>
  <c r="D154" i="2" s="1"/>
  <c r="I34" i="3"/>
  <c r="H17" i="5" s="1"/>
  <c r="F68" i="5" s="1"/>
  <c r="G27" i="5"/>
  <c r="G28" i="5" s="1"/>
  <c r="D65" i="5"/>
  <c r="G21" i="5"/>
  <c r="C65" i="5"/>
  <c r="E29" i="2"/>
  <c r="E30" i="2" s="1"/>
  <c r="H18" i="4"/>
  <c r="H20" i="4"/>
  <c r="H22" i="4" s="1"/>
  <c r="H30" i="4" s="1"/>
  <c r="D69" i="5" l="1"/>
  <c r="B67" i="5"/>
  <c r="B33" i="5"/>
  <c r="F69" i="5"/>
  <c r="D74" i="2"/>
  <c r="E79" i="2"/>
  <c r="E216" i="2"/>
  <c r="E145" i="2"/>
  <c r="B45" i="4"/>
  <c r="B46" i="4" s="1"/>
  <c r="B47" i="4" s="1"/>
  <c r="H39" i="4"/>
  <c r="H40" i="4" s="1"/>
  <c r="B48" i="4" s="1"/>
  <c r="H48" i="4" s="1"/>
  <c r="H49" i="4" s="1"/>
  <c r="C68" i="4" s="1"/>
  <c r="C70" i="4" s="1"/>
  <c r="C66" i="5"/>
  <c r="D66" i="5"/>
  <c r="B41" i="5"/>
  <c r="B42" i="5" s="1"/>
  <c r="H27" i="5"/>
  <c r="H28" i="5" s="1"/>
  <c r="B32" i="5" s="1"/>
  <c r="F65" i="5"/>
  <c r="C68" i="5"/>
  <c r="B68" i="5"/>
  <c r="E68" i="5"/>
  <c r="D153" i="2"/>
  <c r="E150" i="2"/>
  <c r="E69" i="5"/>
  <c r="C67" i="5"/>
  <c r="D67" i="5"/>
  <c r="E66" i="5"/>
  <c r="B69" i="5"/>
  <c r="B65" i="5"/>
  <c r="B66" i="5"/>
  <c r="E65" i="5"/>
  <c r="F67" i="5"/>
  <c r="H21" i="5"/>
  <c r="G129" i="2"/>
  <c r="G133" i="2" s="1"/>
  <c r="G140" i="2" s="1"/>
  <c r="G141" i="2" s="1"/>
  <c r="D68" i="5"/>
  <c r="F66" i="5"/>
  <c r="B34" i="5"/>
  <c r="E67" i="5"/>
  <c r="C69" i="5"/>
  <c r="B49" i="5" l="1"/>
  <c r="B43" i="5"/>
  <c r="B44" i="5" s="1"/>
  <c r="H138" i="2"/>
  <c r="G56" i="2"/>
  <c r="G84" i="2" s="1"/>
  <c r="C72" i="4"/>
  <c r="B49" i="4"/>
  <c r="B68" i="4" s="1"/>
  <c r="B70" i="4" s="1"/>
  <c r="E147" i="2"/>
  <c r="E221" i="2"/>
  <c r="E218" i="2"/>
  <c r="G130" i="2"/>
  <c r="E95" i="2"/>
  <c r="E146" i="2" s="1"/>
  <c r="E86" i="2"/>
  <c r="E94" i="2" l="1"/>
  <c r="F144" i="2"/>
  <c r="E70" i="2"/>
  <c r="B72" i="4"/>
  <c r="H127" i="2"/>
  <c r="G55" i="2"/>
  <c r="B61" i="4"/>
  <c r="B73" i="4" s="1"/>
  <c r="F7" i="4"/>
  <c r="H129" i="2" l="1"/>
  <c r="H133" i="2" s="1"/>
  <c r="H140" i="2" s="1"/>
  <c r="H141" i="2" s="1"/>
  <c r="B62" i="4"/>
  <c r="B63" i="4"/>
  <c r="C73" i="4"/>
  <c r="E96" i="2"/>
  <c r="E98" i="2" s="1"/>
  <c r="E51" i="2" s="1"/>
  <c r="E152" i="2"/>
  <c r="E223" i="2"/>
  <c r="F170" i="2" l="1"/>
  <c r="F25" i="2" s="1"/>
  <c r="F28" i="2" s="1"/>
  <c r="E58" i="2"/>
  <c r="I138" i="2"/>
  <c r="H56" i="2"/>
  <c r="H84" i="2" s="1"/>
  <c r="H130" i="2"/>
  <c r="H55" i="2" l="1"/>
  <c r="I127" i="2"/>
  <c r="E72" i="2"/>
  <c r="E71" i="2" s="1"/>
  <c r="E154" i="2" s="1"/>
  <c r="E74" i="2"/>
  <c r="F29" i="2"/>
  <c r="F30" i="2" s="1"/>
  <c r="F216" i="2" l="1"/>
  <c r="F145" i="2"/>
  <c r="F79" i="2"/>
  <c r="F150" i="2"/>
  <c r="E153" i="2"/>
  <c r="I129" i="2"/>
  <c r="I133" i="2" s="1"/>
  <c r="I140" i="2" s="1"/>
  <c r="I141" i="2" s="1"/>
  <c r="I56" i="2" s="1"/>
  <c r="I84" i="2" s="1"/>
  <c r="I130" i="2" l="1"/>
  <c r="I55" i="2" s="1"/>
  <c r="F86" i="2"/>
  <c r="F95" i="2"/>
  <c r="F146" i="2" s="1"/>
  <c r="F147" i="2" s="1"/>
  <c r="F218" i="2"/>
  <c r="F221" i="2"/>
  <c r="G144" i="2" l="1"/>
  <c r="F70" i="2"/>
  <c r="F94" i="2"/>
  <c r="F96" i="2" l="1"/>
  <c r="F98" i="2" s="1"/>
  <c r="F51" i="2" s="1"/>
  <c r="F223" i="2"/>
  <c r="F152" i="2"/>
  <c r="F58" i="2" l="1"/>
  <c r="G170" i="2"/>
  <c r="G25" i="2" s="1"/>
  <c r="G28" i="2" s="1"/>
  <c r="G29" i="2" l="1"/>
  <c r="G30" i="2" s="1"/>
  <c r="F72" i="2"/>
  <c r="F71" i="2" s="1"/>
  <c r="F154" i="2" s="1"/>
  <c r="G216" i="2" l="1"/>
  <c r="G145" i="2"/>
  <c r="G79" i="2"/>
  <c r="F153" i="2"/>
  <c r="G150" i="2"/>
  <c r="F74" i="2"/>
  <c r="G86" i="2" l="1"/>
  <c r="G95" i="2"/>
  <c r="G146" i="2" s="1"/>
  <c r="G147" i="2" s="1"/>
  <c r="G218" i="2"/>
  <c r="G221" i="2"/>
  <c r="H144" i="2" l="1"/>
  <c r="G70" i="2"/>
  <c r="G94" i="2"/>
  <c r="G96" i="2" l="1"/>
  <c r="G98" i="2" s="1"/>
  <c r="G51" i="2" s="1"/>
  <c r="G223" i="2"/>
  <c r="G152" i="2"/>
  <c r="H170" i="2" l="1"/>
  <c r="H25" i="2" s="1"/>
  <c r="H28" i="2" s="1"/>
  <c r="G58" i="2"/>
  <c r="G72" i="2" l="1"/>
  <c r="G71" i="2" s="1"/>
  <c r="G154" i="2" s="1"/>
  <c r="H29" i="2"/>
  <c r="H30" i="2" s="1"/>
  <c r="H216" i="2" l="1"/>
  <c r="H145" i="2"/>
  <c r="H79" i="2"/>
  <c r="H150" i="2"/>
  <c r="G153" i="2"/>
  <c r="G74" i="2"/>
  <c r="H95" i="2" l="1"/>
  <c r="H146" i="2" s="1"/>
  <c r="H86" i="2"/>
  <c r="H147" i="2"/>
  <c r="H221" i="2"/>
  <c r="H218" i="2"/>
  <c r="I144" i="2" l="1"/>
  <c r="H70" i="2"/>
  <c r="H94" i="2"/>
  <c r="H223" i="2" l="1"/>
  <c r="H152" i="2"/>
  <c r="H96" i="2"/>
  <c r="H98" i="2" s="1"/>
  <c r="H51" i="2" s="1"/>
  <c r="I170" i="2" l="1"/>
  <c r="I25" i="2" s="1"/>
  <c r="I28" i="2" s="1"/>
  <c r="H58" i="2"/>
  <c r="H72" i="2" l="1"/>
  <c r="H71" i="2" s="1"/>
  <c r="H154" i="2" s="1"/>
  <c r="I29" i="2"/>
  <c r="I30" i="2"/>
  <c r="I145" i="2" l="1"/>
  <c r="I216" i="2"/>
  <c r="I79" i="2"/>
  <c r="I150" i="2"/>
  <c r="H153" i="2"/>
  <c r="H74" i="2"/>
  <c r="I86" i="2" l="1"/>
  <c r="I95" i="2"/>
  <c r="I146" i="2" s="1"/>
  <c r="I221" i="2"/>
  <c r="I218" i="2"/>
  <c r="I147" i="2"/>
  <c r="I70" i="2" s="1"/>
  <c r="I94" i="2" l="1"/>
  <c r="I223" i="2" l="1"/>
  <c r="I152" i="2"/>
  <c r="I96" i="2"/>
  <c r="I98" i="2" s="1"/>
  <c r="I51" i="2" s="1"/>
  <c r="I58" i="2" s="1"/>
  <c r="I72" i="2" l="1"/>
  <c r="I71" i="2" s="1"/>
  <c r="I154" i="2" s="1"/>
  <c r="I153" i="2" s="1"/>
  <c r="I74" i="2" l="1"/>
</calcChain>
</file>

<file path=xl/sharedStrings.xml><?xml version="1.0" encoding="utf-8"?>
<sst xmlns="http://schemas.openxmlformats.org/spreadsheetml/2006/main" count="812" uniqueCount="579">
  <si>
    <t>Financial Statement Model for Wolters Kluwer</t>
  </si>
  <si>
    <t>€ mm except per share</t>
  </si>
  <si>
    <t>Company name</t>
  </si>
  <si>
    <t>Wolters Kluwer N.V.</t>
  </si>
  <si>
    <t>Ticker</t>
  </si>
  <si>
    <t>WKL / WKL.AS</t>
  </si>
  <si>
    <t>Historical baseline</t>
  </si>
  <si>
    <t>2021A–2023A</t>
  </si>
  <si>
    <t>GenAI commercialization</t>
  </si>
  <si>
    <t>2024A</t>
  </si>
  <si>
    <t>Agentic AI launch</t>
  </si>
  <si>
    <t>2025A</t>
  </si>
  <si>
    <t>Diluted weighted-average shares (m)</t>
  </si>
  <si>
    <t>Project objective</t>
  </si>
  <si>
    <t>Quantify financial value from AI and return from continued agentic-AI scaling</t>
  </si>
  <si>
    <t>INCOME STATEMENT</t>
  </si>
  <si>
    <t>2021A</t>
  </si>
  <si>
    <t>2022A</t>
  </si>
  <si>
    <t>2023A</t>
  </si>
  <si>
    <t>Revenue</t>
  </si>
  <si>
    <t>Cost of revenue (enter as -)</t>
  </si>
  <si>
    <t>Gross Profit</t>
  </si>
  <si>
    <t>Product development / R&amp;D &amp; editorial (enter as -)</t>
  </si>
  <si>
    <t>Sales &amp; Marketing (enter as -)</t>
  </si>
  <si>
    <t>General &amp; Administrative (enter as -)</t>
  </si>
  <si>
    <t>Amortization of acquired intangibles (enter as -)</t>
  </si>
  <si>
    <t>Other operating income / (expense), net</t>
  </si>
  <si>
    <t>Operating profit (EBIT)</t>
  </si>
  <si>
    <t>Financing income</t>
  </si>
  <si>
    <t>Financing expense (enter as -)</t>
  </si>
  <si>
    <t>Other finance income / (expense), net</t>
  </si>
  <si>
    <t>Pretax profit</t>
  </si>
  <si>
    <t>Taxes (enter expense as -)</t>
  </si>
  <si>
    <t>Net income</t>
  </si>
  <si>
    <t>Depreciation &amp; amortization</t>
  </si>
  <si>
    <t>EBITDA</t>
  </si>
  <si>
    <t>Adjusted operating profit</t>
  </si>
  <si>
    <t>Adjusted EBITDA</t>
  </si>
  <si>
    <t>Growth rates &amp; margins</t>
  </si>
  <si>
    <t>Revenue growth</t>
  </si>
  <si>
    <t>Gross profit margin</t>
  </si>
  <si>
    <t>Product development / R&amp;D % of revenue</t>
  </si>
  <si>
    <t>S&amp;M % of revenue</t>
  </si>
  <si>
    <t>G&amp;A % of revenue</t>
  </si>
  <si>
    <t>Operating margin</t>
  </si>
  <si>
    <t>Effective tax rate</t>
  </si>
  <si>
    <t>Adjusted operating margin</t>
  </si>
  <si>
    <t>Total product development % of revenue</t>
  </si>
  <si>
    <t>BALANCE SHEET</t>
  </si>
  <si>
    <t>Cash &amp; equivalents</t>
  </si>
  <si>
    <t>Accounts receivable</t>
  </si>
  <si>
    <t>Inventories</t>
  </si>
  <si>
    <t>Other current assets</t>
  </si>
  <si>
    <t>Property, plant &amp; equipment</t>
  </si>
  <si>
    <t>Other non current assets</t>
  </si>
  <si>
    <t>Total assets</t>
  </si>
  <si>
    <t>Trade &amp; other payables</t>
  </si>
  <si>
    <t>Other current liabilities</t>
  </si>
  <si>
    <t>Deferred / unearned revenue</t>
  </si>
  <si>
    <t>Debt, current / revolver</t>
  </si>
  <si>
    <t>Long term debt</t>
  </si>
  <si>
    <t>Other non current liabilities</t>
  </si>
  <si>
    <t>Total liabilities</t>
  </si>
  <si>
    <t>Common stock / share capital</t>
  </si>
  <si>
    <t>Retained earnings</t>
  </si>
  <si>
    <t>Other Equity</t>
  </si>
  <si>
    <t>Total equity</t>
  </si>
  <si>
    <t>Balance check</t>
  </si>
  <si>
    <t>Additional data</t>
  </si>
  <si>
    <t>Capital expenditures (enter as +)</t>
  </si>
  <si>
    <t>D&amp;A related only to PP&amp;E (enter as -)</t>
  </si>
  <si>
    <t>Dividends</t>
  </si>
  <si>
    <t>Repurchases</t>
  </si>
  <si>
    <t>Implied interest rate on debt</t>
  </si>
  <si>
    <t>Implied interest rate on cash</t>
  </si>
  <si>
    <t>Interest Expense</t>
  </si>
  <si>
    <t>Total Debt incl. leases</t>
  </si>
  <si>
    <t>Interest Income</t>
  </si>
  <si>
    <t>Total interest earning assets</t>
  </si>
  <si>
    <t>Adjusted free cash flow</t>
  </si>
  <si>
    <t>ROIC</t>
  </si>
  <si>
    <t>Product development spend</t>
  </si>
  <si>
    <t>Company-reported net debt</t>
  </si>
  <si>
    <t>2021</t>
  </si>
  <si>
    <t>2023</t>
  </si>
  <si>
    <t>2024</t>
  </si>
  <si>
    <t>2025</t>
  </si>
  <si>
    <t>2025 Annual Report</t>
  </si>
  <si>
    <t>2026</t>
  </si>
  <si>
    <t>2026 Half-Year Results</t>
  </si>
  <si>
    <t>Use average balances = 1, Use BOP balances = 0</t>
  </si>
  <si>
    <t>Latest closing share price</t>
  </si>
  <si>
    <t>Latest closing share price date</t>
  </si>
  <si>
    <t>Latest fiscal year end date</t>
  </si>
  <si>
    <t>2025-12-31</t>
  </si>
  <si>
    <t>Shares outstanding (millions)</t>
  </si>
  <si>
    <t>Select an operating scenario</t>
  </si>
  <si>
    <t>Base case</t>
  </si>
  <si>
    <t>2026E</t>
  </si>
  <si>
    <t>2027E</t>
  </si>
  <si>
    <t>2028E</t>
  </si>
  <si>
    <t>2029E</t>
  </si>
  <si>
    <t>2030E</t>
  </si>
  <si>
    <t>2031E</t>
  </si>
  <si>
    <t>Comments</t>
  </si>
  <si>
    <t>Interest income</t>
  </si>
  <si>
    <t>Interest expense (enter as -)</t>
  </si>
  <si>
    <t>Other expense, net (enter as -)</t>
  </si>
  <si>
    <t>CASH FLOW STATEMENT</t>
  </si>
  <si>
    <t>Depreciation and amortization</t>
  </si>
  <si>
    <t>Stock based compensation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</si>
  <si>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</si>
  <si>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</si>
  <si>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</si>
  <si>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</si>
  <si>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Acquisitions, net</t>
  </si>
  <si>
    <t>Cash from investing activities</t>
  </si>
  <si>
    <t>Revolver / current debt</t>
  </si>
  <si>
    <t>Share repurchases</t>
  </si>
  <si>
    <t>Common dividends</t>
  </si>
  <si>
    <t>Cash from financing activities</t>
  </si>
  <si>
    <t>Net change in cash during period</t>
  </si>
  <si>
    <t>WORKING CAPITAL</t>
  </si>
  <si>
    <t>ACCOUNTS RECEIVABLE</t>
  </si>
  <si>
    <t>Beginning of period</t>
  </si>
  <si>
    <t>Increases / (decreases)</t>
  </si>
  <si>
    <t>End of period</t>
  </si>
  <si>
    <t>Days sales outstanding (DSO) assumption</t>
  </si>
  <si>
    <t>INVENTORIES</t>
  </si>
  <si>
    <t>Inventory days on cost of revenue</t>
  </si>
  <si>
    <t>DEFERRED / UNEARNED REVENUE</t>
  </si>
  <si>
    <t>Deferred revenue % of revenue</t>
  </si>
  <si>
    <t>PROPERTY, PLANT &amp; EQUIPMENT</t>
  </si>
  <si>
    <t>Plus: PP&amp;E capital expenditures</t>
  </si>
  <si>
    <t>Less: Depreciation</t>
  </si>
  <si>
    <t>DEPRECIATION &amp; AMORTIZATION</t>
  </si>
  <si>
    <t>D&amp;A not related to PP&amp;E</t>
  </si>
  <si>
    <t>Total D&amp;A as % of revenue</t>
  </si>
  <si>
    <t>Depreciation &amp; Amortization - Total</t>
  </si>
  <si>
    <t>GOODWILL &amp; INTANGIBLE ASSETS</t>
  </si>
  <si>
    <t>Plus: software &amp; acquisition additions</t>
  </si>
  <si>
    <t>Less: amortization</t>
  </si>
  <si>
    <t>RETAINED EARNINGS</t>
  </si>
  <si>
    <t>Plus: Net income</t>
  </si>
  <si>
    <t>Less: Dividends</t>
  </si>
  <si>
    <t>OTHER EQUITY</t>
  </si>
  <si>
    <t>Plus: Stock based compensation</t>
  </si>
  <si>
    <t>Less: Repurchase</t>
  </si>
  <si>
    <t>Other movements / balancing</t>
  </si>
  <si>
    <t>DEBT SCHEDULE</t>
  </si>
  <si>
    <t>Current debt - beginning</t>
  </si>
  <si>
    <t>Draw / (paydown)</t>
  </si>
  <si>
    <t>Current debt - ending</t>
  </si>
  <si>
    <t>Long-term debt - beginning</t>
  </si>
  <si>
    <t>Long-term debt - ending</t>
  </si>
  <si>
    <t>INTEREST EXPENSE AND INTEREST INCOME</t>
  </si>
  <si>
    <t>Weighted average interest rate - current debt</t>
  </si>
  <si>
    <t>Interest expense - current debt</t>
  </si>
  <si>
    <t>Weighted average interest rate - long-term debt</t>
  </si>
  <si>
    <t>Interest expense - long-term debt</t>
  </si>
  <si>
    <t>Weighted average interest rate on cash</t>
  </si>
  <si>
    <t>SCENARIO ANALYSIS</t>
  </si>
  <si>
    <t>Active case:</t>
  </si>
  <si>
    <t>Best case</t>
  </si>
  <si>
    <t>Weak case</t>
  </si>
  <si>
    <t>Product development % of revenue</t>
  </si>
  <si>
    <t>Acquired amortization % of revenue</t>
  </si>
  <si>
    <t>Tax rate</t>
  </si>
  <si>
    <t>EARNINGS PER SHARE</t>
  </si>
  <si>
    <t>Basic shares</t>
  </si>
  <si>
    <t>Basic EPS</t>
  </si>
  <si>
    <t>Diluted Shares</t>
  </si>
  <si>
    <t>Diluted EPS</t>
  </si>
  <si>
    <t>€ amount of shares repurchased</t>
  </si>
  <si>
    <t>Share based compensation</t>
  </si>
  <si>
    <t>Average share price (optional)</t>
  </si>
  <si>
    <t>Basic Shares - BOP</t>
  </si>
  <si>
    <t>Net change in basic shares</t>
  </si>
  <si>
    <t>Basic shares - EOP</t>
  </si>
  <si>
    <t>Basic shares - average</t>
  </si>
  <si>
    <t>CCH Axcess Expert AI - Price / Volume Build</t>
  </si>
  <si>
    <t>Fiscal year</t>
  </si>
  <si>
    <t>Fiscal year end date</t>
  </si>
  <si>
    <t>Revenue &amp; AI value build</t>
  </si>
  <si>
    <t>Core T&amp;A revenue (without incremental AI scaling)</t>
  </si>
  <si>
    <t>Direct AI module revenue</t>
  </si>
  <si>
    <t>Commercial expansion value</t>
  </si>
  <si>
    <t>Total AI economic benefit</t>
  </si>
  <si>
    <t>T&amp;A revenue incl. modeled AI benefit</t>
  </si>
  <si>
    <t>% growth</t>
  </si>
  <si>
    <t>Operating drivers</t>
  </si>
  <si>
    <t>CCH Axcess installed firms</t>
  </si>
  <si>
    <t>AI adoption rate</t>
  </si>
  <si>
    <t>Year-end agentic AI customers</t>
  </si>
  <si>
    <t>Average subscribed firms</t>
  </si>
  <si>
    <t>Incremental AI ARPU (€ / firm-year)</t>
  </si>
  <si>
    <t>Commercial expansion value (% of direct revenue)</t>
  </si>
  <si>
    <t>AI investment &amp; cash flow build</t>
  </si>
  <si>
    <t>Product development intensity</t>
  </si>
  <si>
    <t>T&amp;A product development proxy</t>
  </si>
  <si>
    <t>AI share of T&amp;A product development</t>
  </si>
  <si>
    <t>T&amp;A core revenue growth</t>
  </si>
  <si>
    <t>Installed-base growth</t>
  </si>
  <si>
    <t>AI-attributed development investment</t>
  </si>
  <si>
    <t>AI delivery cost (% of direct AI revenue)</t>
  </si>
  <si>
    <t>AI variable delivery cost</t>
  </si>
  <si>
    <t>Recurring AI platform / governance fixed cost</t>
  </si>
  <si>
    <t>Total AI cost</t>
  </si>
  <si>
    <t>AI EBIT before tax</t>
  </si>
  <si>
    <t>Cash tax on positive AI EBIT</t>
  </si>
  <si>
    <t>Incremental AI free cash flow</t>
  </si>
  <si>
    <t>Cumulative AI ROI</t>
  </si>
  <si>
    <t>Discounted Cash Flow Valuation - Wolters Kluwer</t>
  </si>
  <si>
    <t>€ and shares in millions, except per share data</t>
  </si>
  <si>
    <t>Most recent fiscal year end</t>
  </si>
  <si>
    <t>Discount rate (WACC)</t>
  </si>
  <si>
    <t>First forecast year</t>
  </si>
  <si>
    <t>Long-term growth rate</t>
  </si>
  <si>
    <t>Valuation date</t>
  </si>
  <si>
    <t>2026-08-25</t>
  </si>
  <si>
    <t>Exit EBITDA multiple</t>
  </si>
  <si>
    <t>Primary method</t>
  </si>
  <si>
    <t>UFCF DCF</t>
  </si>
  <si>
    <t>AI incremental value</t>
  </si>
  <si>
    <t>Unlevered Free Cash Flows</t>
  </si>
  <si>
    <t>% margin</t>
  </si>
  <si>
    <t>EBIT</t>
  </si>
  <si>
    <t>Tax on EBIT</t>
  </si>
  <si>
    <t>NOPAT (aka EBIAT)</t>
  </si>
  <si>
    <t>Changes in net working capital</t>
  </si>
  <si>
    <t>as % of revenue</t>
  </si>
  <si>
    <t>Unlevered free cash flows (UFCF)</t>
  </si>
  <si>
    <t>Net working capital</t>
  </si>
  <si>
    <t>Present value of UFCF</t>
  </si>
  <si>
    <t>Discount period</t>
  </si>
  <si>
    <t>Discount factor</t>
  </si>
  <si>
    <t>UFCF</t>
  </si>
  <si>
    <t>Terminal value - growth in perpetuity approach</t>
  </si>
  <si>
    <t>Terminal value - EBITDA multiple approach</t>
  </si>
  <si>
    <t>Long term growth rate</t>
  </si>
  <si>
    <t>Terminal year EBITDA</t>
  </si>
  <si>
    <t>2031 FCF x (1+g)</t>
  </si>
  <si>
    <t>EBITDA multiple</t>
  </si>
  <si>
    <t>Terminal value in 2031</t>
  </si>
  <si>
    <t>Present value of terminal value</t>
  </si>
  <si>
    <t>Present value of stage 1 cash flows</t>
  </si>
  <si>
    <t>Total enterprise value (TEV)</t>
  </si>
  <si>
    <t>Enterprise value (stage 1 + 2)</t>
  </si>
  <si>
    <t>Net debt / AI value / shares</t>
  </si>
  <si>
    <t>Source doc</t>
  </si>
  <si>
    <t>Date</t>
  </si>
  <si>
    <t>Shares</t>
  </si>
  <si>
    <t>Gross debt and equivalents</t>
  </si>
  <si>
    <t>Diluted share proxy</t>
  </si>
  <si>
    <t>Cash</t>
  </si>
  <si>
    <t>Net diluted shares</t>
  </si>
  <si>
    <t>Net debt</t>
  </si>
  <si>
    <t>AI incremental NPV</t>
  </si>
  <si>
    <t>AI value as % of TEV</t>
  </si>
  <si>
    <t>AI value per share</t>
  </si>
  <si>
    <t>Valuation</t>
  </si>
  <si>
    <t>Perpetuity</t>
  </si>
  <si>
    <t>Enterprise value</t>
  </si>
  <si>
    <t>Equity value</t>
  </si>
  <si>
    <t>Shares outstanding</t>
  </si>
  <si>
    <t>Equity value per share</t>
  </si>
  <si>
    <t>AI-adjusted equity value per share</t>
  </si>
  <si>
    <t>CCH Axcess Expert AI - Incremental DCF / ROI</t>
  </si>
  <si>
    <t>€ millions except per share data</t>
  </si>
  <si>
    <t>Terminal growth rate</t>
  </si>
  <si>
    <t>Finite AI cash flows through 2031</t>
  </si>
  <si>
    <t>AI investment hurdle reference</t>
  </si>
  <si>
    <t>Scenario</t>
  </si>
  <si>
    <t>Incremental AI Cash Flows</t>
  </si>
  <si>
    <t>Cumulative AI benefit</t>
  </si>
  <si>
    <t>Cumulative AI cost</t>
  </si>
  <si>
    <t>Cumulative AI FCF</t>
  </si>
  <si>
    <t>Present Value of AI Free Cash Flows</t>
  </si>
  <si>
    <t>Incremental AI FCF</t>
  </si>
  <si>
    <t>Present value of AI FCF</t>
  </si>
  <si>
    <t>Primary valuation - finite cash flows</t>
  </si>
  <si>
    <t>NPV through 2031 (No TV)</t>
  </si>
  <si>
    <t>IRR</t>
  </si>
  <si>
    <t>Payback year</t>
  </si>
  <si>
    <t>2031 cumulative AI ROI</t>
  </si>
  <si>
    <t>Benefit / cost ratio</t>
  </si>
  <si>
    <t>Secondary valuation - terminal value</t>
  </si>
  <si>
    <t>Terminal value at 2031</t>
  </si>
  <si>
    <t>PV of terminal value</t>
  </si>
  <si>
    <t>NPV incl. terminal value</t>
  </si>
  <si>
    <t>Terminal value % of total</t>
  </si>
  <si>
    <t>Linked primary output</t>
  </si>
  <si>
    <t>AI NPV used in Integrated DCF</t>
  </si>
  <si>
    <t>AI NPV Sensitivity - ARPU x Adoption</t>
  </si>
  <si>
    <t>Adoption multiplier</t>
  </si>
  <si>
    <t>NPV incl. TV Sensitivity - WACC x Terminal Growth</t>
  </si>
  <si>
    <t>WACC \ g</t>
  </si>
  <si>
    <t>Shares - Dilution and Repurchases</t>
  </si>
  <si>
    <t>Basic and diluted share count</t>
  </si>
  <si>
    <t>Reported / Forecast</t>
  </si>
  <si>
    <t>Comment</t>
  </si>
  <si>
    <t>Basic weighted-average shares (2025A)</t>
  </si>
  <si>
    <t>Reported 2025</t>
  </si>
  <si>
    <t>LTIP / RSU dilution</t>
  </si>
  <si>
    <t>Difference between basic and diluted shares</t>
  </si>
  <si>
    <t>Diluted weighted-average shares (2025A)</t>
  </si>
  <si>
    <t>Basic + dilution</t>
  </si>
  <si>
    <t>Forecast diluted shares (2026E)</t>
  </si>
  <si>
    <t>Linked from Forecast</t>
  </si>
  <si>
    <t>Net diluted shares used in DCF</t>
  </si>
  <si>
    <t>2026E proxy</t>
  </si>
  <si>
    <t>Share repurchase context</t>
  </si>
  <si>
    <t>2025 share repurchases (€m)</t>
  </si>
  <si>
    <t>Reported financing cash flow</t>
  </si>
  <si>
    <t>2025 share-based payments (€m)</t>
  </si>
  <si>
    <t>Reported cash-flow adjustment</t>
  </si>
  <si>
    <t>2025 diluted/basic spread (m)</t>
  </si>
  <si>
    <t>Diluted − basic shares</t>
  </si>
  <si>
    <t>Convertible securities 'if-converted' test</t>
  </si>
  <si>
    <t>Convertible debt</t>
  </si>
  <si>
    <t>No material convertible instrument modeled</t>
  </si>
  <si>
    <t>Principal outstanding</t>
  </si>
  <si>
    <t>Conversion ratio</t>
  </si>
  <si>
    <t>Common shares convertible into</t>
  </si>
  <si>
    <t>Dilutive impact</t>
  </si>
  <si>
    <t>Elimination of liability from net debt</t>
  </si>
  <si>
    <t>WACC Buildup</t>
  </si>
  <si>
    <t>Cost of capital assumptions</t>
  </si>
  <si>
    <t>Source</t>
  </si>
  <si>
    <t>Cost of debt</t>
  </si>
  <si>
    <t>Normalized investment-grade debt cost</t>
  </si>
  <si>
    <t>2025 benchmark tax rate</t>
  </si>
  <si>
    <t>Cost of debt (after tax)</t>
  </si>
  <si>
    <t>Cost of debt × (1 − tax rate)</t>
  </si>
  <si>
    <t>Risk free rate</t>
  </si>
  <si>
    <t>Long-duration EUR sovereign proxy</t>
  </si>
  <si>
    <t>Beta</t>
  </si>
  <si>
    <t>Mature information/software beta</t>
  </si>
  <si>
    <t>Market risk premium</t>
  </si>
  <si>
    <t>Normalized equity risk premium</t>
  </si>
  <si>
    <t>Cost of equity</t>
  </si>
  <si>
    <t>CAPM</t>
  </si>
  <si>
    <t>Capital weights (capital structure)</t>
  </si>
  <si>
    <t>Current</t>
  </si>
  <si>
    <t>Target</t>
  </si>
  <si>
    <t>% of total</t>
  </si>
  <si>
    <t>Equity</t>
  </si>
  <si>
    <t>Debt</t>
  </si>
  <si>
    <t>Cost of capital (WACC)</t>
  </si>
  <si>
    <t>Wolters Kluwer — AI Evidence, MD&amp;A &amp; Commercialization Timeline</t>
  </si>
  <si>
    <t>A. AI &amp; Digital Commercialization Timeline</t>
  </si>
  <si>
    <t>Date / Year</t>
  </si>
  <si>
    <t>Phase</t>
  </si>
  <si>
    <t>Scope</t>
  </si>
  <si>
    <t>Official Evidence / Management Commentary</t>
  </si>
  <si>
    <t>Quantified Evidence</t>
  </si>
  <si>
    <t>Financial Mechanism</t>
  </si>
  <si>
    <t>Model Use</t>
  </si>
  <si>
    <t>Document / Release</t>
  </si>
  <si>
    <t>Historical AI / cloud foundation</t>
  </si>
  <si>
    <t>Group / T&amp;A</t>
  </si>
  <si>
    <t>AI, NLP, RPA and predictive analytics were already deployed; CCH Axcess cloud adoption supported professional workflows. 2021–23 is pre-GenAI acceleration, not pre-AI.</t>
  </si>
  <si>
    <t>Product development = 10% of revenue</t>
  </si>
  <si>
    <t>Cloud migration + workflow embedment + recurring revenue durability</t>
  </si>
  <si>
    <t>Historical baseline / attribution guardrail</t>
  </si>
  <si>
    <t>2021 Annual Report</t>
  </si>
  <si>
    <t>Expert solutions / cloud scale</t>
  </si>
  <si>
    <t>Group</t>
  </si>
  <si>
    <t>Recurring digital/cloud expert solutions supported 6% organic growth while management raised product development to a record level.</t>
  </si>
  <si>
    <t>11% of revenue invested in product development; expert solutions = 56% of revenue</t>
  </si>
  <si>
    <t>Recurring/cloud mix + product investment</t>
  </si>
  <si>
    <t>Baseline before accelerated GenAI commercialization</t>
  </si>
  <si>
    <t>2022 Annual Report</t>
  </si>
  <si>
    <t>GenAI experimentation</t>
  </si>
  <si>
    <t>Management shifted attention and funding toward generative-AI opportunities; first GenAI-enabled products were released. AI had already been used for more than a decade.</t>
  </si>
  <si>
    <t>≈€615m product development; ≈50% of digital revenue from products with AI embedded; T&amp;A cloud +17%</t>
  </si>
  <si>
    <t>Product innovation + cloud adoption + future AI monetization</t>
  </si>
  <si>
    <t>Marks GenAI ramp-up; no direct AI revenue attribution</t>
  </si>
  <si>
    <t>2023 Annual Report</t>
  </si>
  <si>
    <t>2023-10-20</t>
  </si>
  <si>
    <t>GenAI showcase</t>
  </si>
  <si>
    <t>T&amp;A direct</t>
  </si>
  <si>
    <t>Five GenAI use cases demonstrated across search, firm guidance, client relationships, scorecards and benchmarking.</t>
  </si>
  <si>
    <t>5 showcased GenAI use cases</t>
  </si>
  <si>
    <t>Customer productivity + client service + profitability insights</t>
  </si>
  <si>
    <t>Evidence of experimentation before commercial launch</t>
  </si>
  <si>
    <t>CCH Connections GenAI Showcase</t>
  </si>
  <si>
    <t>Commercial GenAI</t>
  </si>
  <si>
    <t>GenAI search, summarization, Q&amp;A and virtual assistants rolled out. T&amp;A cloud growth was driven by CCH Axcess migration and additional workflow modules.</t>
  </si>
  <si>
    <t>≈€660m product development; T&amp;A cloud +19% organic; N.A. cloud +20%; &gt;50% digital revenue from AI-leveraging products</t>
  </si>
  <si>
    <t>Subscription/cloud growth + workflow upsell + operating leverage</t>
  </si>
  <si>
    <t>Core 2024 commercialization rationale</t>
  </si>
  <si>
    <t>2024 Annual Report / FY Results</t>
  </si>
  <si>
    <t>2024-05-06</t>
  </si>
  <si>
    <t>Commercial GenAI launch</t>
  </si>
  <si>
    <t>GenAI Q&amp;A launched inside CCH AnswerConnect, embedding natural-language assistance into the tax research workflow.</t>
  </si>
  <si>
    <t>Research time savings + premium product value</t>
  </si>
  <si>
    <t>Commercialization breakpoint</t>
  </si>
  <si>
    <t>CCH AnswerConnect GenAI</t>
  </si>
  <si>
    <t>Expert AI / agentic commercialization</t>
  </si>
  <si>
    <t>Management identified AI growth channels through retention, upsell, new products and adjacent segments. Expert AI was embedded into multiple high-value workflows.</t>
  </si>
  <si>
    <t>≈€650m product development; nearly 70% digital revenue AI-powered; 83% recurring; &gt;90% renewal rates for most core solutions</t>
  </si>
  <si>
    <t>Retention + upsell + new products + adjacency + recurring-revenue durability</t>
  </si>
  <si>
    <t>Defines monetization channels used in ROI</t>
  </si>
  <si>
    <t>2025-10-15</t>
  </si>
  <si>
    <t>Agentic platform launch</t>
  </si>
  <si>
    <t>CCH Axcess Expert AI launched as an agentic-ready platform across tax, audit and firm management; FY commentary cited significant productivity benefits.</t>
  </si>
  <si>
    <t>CCH Axcess native cloud +19% organic in FY2025</t>
  </si>
  <si>
    <t>AI module upsell + workflow automation + cloud retention</t>
  </si>
  <si>
    <t>Primary AI ROI initiative launch point</t>
  </si>
  <si>
    <t>CCH Axcess Expert AI launch</t>
  </si>
  <si>
    <t>2026-Q1</t>
  </si>
  <si>
    <t>Early agentic adoption</t>
  </si>
  <si>
    <t>Recurring T&amp;A revenue sustained 7% organic growth, driven by cloud solutions. Early commercial adoption of new CCH Axcess agentic modules was reported.</t>
  </si>
  <si>
    <t>&gt;150 firms using Intelligence / Client Collaboration</t>
  </si>
  <si>
    <t>Adoption + cloud recurring revenue</t>
  </si>
  <si>
    <t>Early adoption bridge into 2026E</t>
  </si>
  <si>
    <t>Q1 2026 Trading Update</t>
  </si>
  <si>
    <t>2026-05-13</t>
  </si>
  <si>
    <t>Agentic expansion</t>
  </si>
  <si>
    <t>CCH Axcess Advisor became generally available, using client/compliance data to identify and scale advisory opportunities.</t>
  </si>
  <si>
    <t>Commercial product launch</t>
  </si>
  <si>
    <t>New product + advisory upsell + customer revenue opportunity</t>
  </si>
  <si>
    <t>Supports commercial-expansion value channel</t>
  </si>
  <si>
    <t>CCH Axcess Advisor launch</t>
  </si>
  <si>
    <t>2026-06</t>
  </si>
  <si>
    <t>Enterprise AI collaboration</t>
  </si>
  <si>
    <t>T&amp;A direct / Group</t>
  </si>
  <si>
    <t>Wolters Kluwer and OpenAI expanded enterprise collaboration; OpenAI models power CCH Axcess Expert AI agentic workflows.</t>
  </si>
  <si>
    <t>Company-reported 20–30% reduction in manual tasks from CCH Axcess agentic solutions</t>
  </si>
  <si>
    <t>Customer productivity + AI delivery architecture</t>
  </si>
  <si>
    <t>Operating-benefit evidence; not WK contract pricing</t>
  </si>
  <si>
    <t>Wolters Kluwer + OpenAI collaboration</t>
  </si>
  <si>
    <t>2026-06-29</t>
  </si>
  <si>
    <t>Workflow automation scale</t>
  </si>
  <si>
    <t>AI-powered Scan and complex K-1 ingestion expanded low-touch tax preparation and document automation.</t>
  </si>
  <si>
    <t>Early users: 30–70% efficiency gains; K-1 manual effort down 60–80%</t>
  </si>
  <si>
    <t>Customer productivity + capacity + retention</t>
  </si>
  <si>
    <t>Supporting workflow-specific evidence only</t>
  </si>
  <si>
    <t>Expert AI Scan / K-1 expansion</t>
  </si>
  <si>
    <t>2026-H1</t>
  </si>
  <si>
    <t>Commercial adoption / scaling</t>
  </si>
  <si>
    <t>T&amp;A recurring growth remained strong and North American cloud growth sustained double digits as firms migrated and added workflow modules.</t>
  </si>
  <si>
    <t>T&amp;A revenue €847m; organic +6%; margin 36.3%; recurring 93%; N.A. cloud +18%; ≈250 AI-module firms</t>
  </si>
  <si>
    <t>Observed adoption + recurring/cloud growth + operating leverage</t>
  </si>
  <si>
    <t>Anchors 2026 adoption and before/after analysis</t>
  </si>
  <si>
    <t>2026 onward</t>
  </si>
  <si>
    <t>AI investment scale-up</t>
  </si>
  <si>
    <t>Management plans to raise annual product-development spending to 12–13% of revenue to advance the AI strategy while still targeting margin expansion.</t>
  </si>
  <si>
    <t>12–13% product development; 2026 adjusted operating margin ≈28%</t>
  </si>
  <si>
    <t>Higher near-term investment for future recurring growth / monetization</t>
  </si>
  <si>
    <t>Key forecast cost/investment anchor</t>
  </si>
  <si>
    <t>2025 Annual Report / 2026 H1 Results</t>
  </si>
  <si>
    <t>B. AI Capital Allocation, Market Demand &amp; Cross-Division Commercialization Evidence</t>
  </si>
  <si>
    <t>AI / analytics acquisition precedent</t>
  </si>
  <si>
    <t>Former CCH Tagetik / CP&amp;ESG</t>
  </si>
  <si>
    <t>Vanguard Software acquired to extend planning and predictive analytics capabilities.</t>
  </si>
  <si>
    <t>≈$110m cash; 2020 revenue ≈$7.2m; ≈55% subscription-cloud mix; recurring cloud +33%; ROIC &gt;8% WACC within 3–5 years</t>
  </si>
  <si>
    <t>AI/analytics M&amp;A discipline + hurdle-rate precedent</t>
  </si>
  <si>
    <t>WACC / capital-allocation precedent</t>
  </si>
  <si>
    <t>Vanguard Software acquisition</t>
  </si>
  <si>
    <t>2022</t>
  </si>
  <si>
    <t>AI acquisition precedent</t>
  </si>
  <si>
    <t>Legal &amp; Regulatory</t>
  </si>
  <si>
    <t>Della AI, an NLP/contract-analysis specialist, acquired to strengthen legal AI capabilities.</t>
  </si>
  <si>
    <t>ROIC expected above 8% WACC within 3–5 years</t>
  </si>
  <si>
    <t>Repeated company hurdle for AI-related investment</t>
  </si>
  <si>
    <t>Della AI acquisition</t>
  </si>
  <si>
    <t>AI M&amp;A commercialization precedent</t>
  </si>
  <si>
    <t>Wolters Kluwer agreed to acquire Libra Technology, a legal AI assistant provider.</t>
  </si>
  <si>
    <t>Up to €90m consideration; €30m upfront; ≈€5m ARR expected; ROIC at/above 8% after-tax WACC within 3–5 years</t>
  </si>
  <si>
    <t>Concrete AI transaction economics + investment hurdle</t>
  </si>
  <si>
    <t>Supports 8% WACC anchor and 3–5 year return discipline</t>
  </si>
  <si>
    <t>Libra Technology acquisition</t>
  </si>
  <si>
    <t>Market demand evidence</t>
  </si>
  <si>
    <t>Accounting industry</t>
  </si>
  <si>
    <t>Future Ready Accountant reported rapid movement from experimentation to regular AI use across accounting firms.</t>
  </si>
  <si>
    <t>AI adoption 9%→41%; 77% plan more AI investment; 35% daily use; 73% of regular users report better-than-expected outcomes</t>
  </si>
  <si>
    <t>Rising addressable demand for AI workflow modules</t>
  </si>
  <si>
    <t>Adoption rationale only — not CCH Axcess adoption</t>
  </si>
  <si>
    <t>2025 Future Ready Accountant</t>
  </si>
  <si>
    <t>2026-01</t>
  </si>
  <si>
    <t>Post-acquisition commercialization</t>
  </si>
  <si>
    <t>Libra technology integrated with Wolters Kluwer content and launched as the Libra Legal AI Workspace in the Netherlands.</t>
  </si>
  <si>
    <t>Acquisition-to-launch sequence</t>
  </si>
  <si>
    <t>Build/buy/integrate/monetize precedent</t>
  </si>
  <si>
    <t>Cross-division commercialization precedent</t>
  </si>
  <si>
    <t>Libra Legal AI Workspace launch</t>
  </si>
  <si>
    <t>Workflow productivity evidence</t>
  </si>
  <si>
    <t>Passport introduced AI-powered matter-summary capabilities across legal matter documents, invoices and tasks.</t>
  </si>
  <si>
    <t>Clients reduced time spent on strategic matter reviews by 75%</t>
  </si>
  <si>
    <t>Cross-division proof that embedded Expert AI can create measurable workflow savings</t>
  </si>
  <si>
    <t>Supporting benchmark only</t>
  </si>
  <si>
    <t>Passport AI matter summaries</t>
  </si>
  <si>
    <t>Enterprise AI adoption</t>
  </si>
  <si>
    <t>CRIDO selected Libra after a pilot and benchmark against alternative AI tools.</t>
  </si>
  <si>
    <t>Nearly 200 lawyers/advisors adopting the AI workspace</t>
  </si>
  <si>
    <t>Customer validation / commercial adoption precedent</t>
  </si>
  <si>
    <t>Supporting adoption precedent only</t>
  </si>
  <si>
    <t>CRIDO chooses Libra</t>
  </si>
  <si>
    <t>Finance workflow / AI evidence</t>
  </si>
  <si>
    <t>Corporate Performance &amp; ESG</t>
  </si>
  <si>
    <t>CCH Tagetik evidence highlights demand for unified cloud finance platforms with AI-enabled forecasting, automation and reporting.</t>
  </si>
  <si>
    <t>Customer example accelerated financial close by ≈5 working days</t>
  </si>
  <si>
    <t>Finance-AI workflow value / integration evidence</t>
  </si>
  <si>
    <t>Context for AI-in-finance thesis, not T&amp;A revenue</t>
  </si>
  <si>
    <t>2026 CCH Tagetik analyst recognitions</t>
  </si>
  <si>
    <t>C. Management Commentary Linking Financial Performance to Operating Drivers</t>
  </si>
  <si>
    <t>Year</t>
  </si>
  <si>
    <t>Financial Area</t>
  </si>
  <si>
    <t>Reported Result / Direction</t>
  </si>
  <si>
    <t>AI / Digital Relevance</t>
  </si>
  <si>
    <t>Attribution Treatment</t>
  </si>
  <si>
    <t>Forecast Driver</t>
  </si>
  <si>
    <t>Grade</t>
  </si>
  <si>
    <t>Page / Section</t>
  </si>
  <si>
    <t>Group revenue €4,771m; margin 25.3%; T&amp;A PF organic +5%; T&amp;A margin 30.8%</t>
  </si>
  <si>
    <t>Cloud workflow foundation before GenAI acceleration</t>
  </si>
  <si>
    <t>Do not attribute 2021 results to GenAI</t>
  </si>
  <si>
    <t>Recurring/cloud migration; normalized cost base</t>
  </si>
  <si>
    <t>A+</t>
  </si>
  <si>
    <t>Group review / T&amp;A section</t>
  </si>
  <si>
    <t>Group organic +6%; margin 26.1%; T&amp;A PF organic +8%; margin 32.6%</t>
  </si>
  <si>
    <t>Digital/cloud scale and product investment are the economic baseline</t>
  </si>
  <si>
    <t>Baseline only</t>
  </si>
  <si>
    <t>Recurring/cloud growth + operating leverage + innovation spend</t>
  </si>
  <si>
    <t>Group/T&amp;A review</t>
  </si>
  <si>
    <t>T&amp;A</t>
  </si>
  <si>
    <t>Revenue €1,466m; organic +8%; margin 32.7%</t>
  </si>
  <si>
    <t>GenAI experimentation started to scale late in the year</t>
  </si>
  <si>
    <t>Correlation only; no AI revenue attribution</t>
  </si>
  <si>
    <t>Recurring software + cloud + product/personnel investment</t>
  </si>
  <si>
    <t>T&amp;A section</t>
  </si>
  <si>
    <t>Revenue €1,561m; organic +7%; margin 33.2%</t>
  </si>
  <si>
    <t>Commercial GenAI features introduced alongside cloud/module expansion</t>
  </si>
  <si>
    <t>Association only; direct AI revenue not disclosed</t>
  </si>
  <si>
    <t>Cloud/module adoption + operating leverage; GenAI supports future upsell</t>
  </si>
  <si>
    <t>T&amp;A p.23 / FY Results p.9</t>
  </si>
  <si>
    <t>Revenue €1,660m; organic +7%; margin 35.2%; CCH Axcess native cloud +19%</t>
  </si>
  <si>
    <t>Expert AI becomes a commercial module layer; management identifies retention, upsell, new products and adjacencies</t>
  </si>
  <si>
    <t>Do not attribute all 2025 CCH Axcess growth to AI</t>
  </si>
  <si>
    <t>Cloud/module penetration + AI attach rate + operating leverage</t>
  </si>
  <si>
    <t>T&amp;A p.25 / FY Results p.9</t>
  </si>
  <si>
    <t>2026 H1</t>
  </si>
  <si>
    <t>T&amp;A / Group</t>
  </si>
  <si>
    <t>Group organic +5%; T&amp;A organic +6%; T&amp;A margin 36.3%; ≈250 AI firms</t>
  </si>
  <si>
    <t>First observed commercial adoption anchor for agentic AI</t>
  </si>
  <si>
    <t>Use adoption point, not company growth, for AI ROI attribution</t>
  </si>
  <si>
    <t>7% FY T&amp;A growth guidance; higher AI investment; continuing cloud adoption</t>
  </si>
  <si>
    <t>T&amp;A p.10 / outlook p.2</t>
  </si>
  <si>
    <t>Sourced from latest annual report</t>
  </si>
  <si>
    <t>5 Year</t>
  </si>
  <si>
    <t>CAGR</t>
  </si>
  <si>
    <t>Step</t>
  </si>
  <si>
    <t>Assumes gradual improvement from higher recurring/cloud mix and operating leverage; model assumption based on historical margin trend.</t>
  </si>
  <si>
    <t>Increased to reflect heavier AI/product investment; 2026 guided product-development spending is 12–13% of revenue</t>
  </si>
  <si>
    <t>Gradual decline assumes scale efficiencies as recurring/cloud revenue grows; model assumption based on historical trend.</t>
  </si>
  <si>
    <t>2026E anchored to management’s expectation for “good organic growth”; later years gradually normalize toward mature mid-single-digit growth.</t>
  </si>
  <si>
    <t>Gradual decline assumes operating leverage and productivity gains as revenue scales; model assumption.</t>
  </si>
  <si>
    <t>Formula-driven from gross margin and operating expenses; improves as revenue growth and operating leverage outweigh higher product investment.</t>
  </si>
  <si>
    <t>Normalized model assumption; note that Wolters Kluwer’s 2026 benchmark tax-rate guidance is 23.5–24.5%, so 21% is more appropriate for IFRS effective tax only if separately justified</t>
  </si>
  <si>
    <r>
      <t xml:space="preserve">2026E anchored directly to management guidance of </t>
    </r>
    <r>
      <rPr>
        <b/>
        <sz val="11"/>
        <rFont val="Carlito"/>
      </rPr>
      <t>~28.0%</t>
    </r>
    <r>
      <rPr>
        <sz val="11"/>
        <rFont val="Carlito"/>
      </rPr>
      <t>; later years assume modest continued operating leverage.</t>
    </r>
  </si>
  <si>
    <r>
      <t xml:space="preserve">2026E–2031E held at </t>
    </r>
    <r>
      <rPr>
        <b/>
        <sz val="11"/>
        <rFont val="Carlito"/>
      </rPr>
      <t>12.5%</t>
    </r>
    <r>
      <rPr>
        <sz val="11"/>
        <rFont val="Carlito"/>
      </rPr>
      <t xml:space="preserve">, the midpoint of management’s 2026 guidance range of </t>
    </r>
    <r>
      <rPr>
        <b/>
        <sz val="11"/>
        <rFont val="Carlito"/>
      </rPr>
      <t>12–13%</t>
    </r>
    <r>
      <rPr>
        <sz val="11"/>
        <rFont val="Carlito"/>
      </rPr>
      <t>, explicitly linked to advancing the AI strategy.</t>
    </r>
  </si>
  <si>
    <t>Prior-year revenue × forecast growth assumption.</t>
  </si>
  <si>
    <t>Derived from forecast gross margin.</t>
  </si>
  <si>
    <t>Revenue less cost of revenue</t>
  </si>
  <si>
    <t>Revenue × forecast R&amp;D expense %.</t>
  </si>
  <si>
    <t>Revenue × forecast S&amp;M %.</t>
  </si>
  <si>
    <t>Revenue × forecast G&amp;A %</t>
  </si>
  <si>
    <t>Forecast as declining % of revenue as existing acquisition intangibles amortize.</t>
  </si>
  <si>
    <t>Gross profit less operating expenses</t>
  </si>
  <si>
    <t>Based on beginning cash and assumed cash yield.</t>
  </si>
  <si>
    <t>Based on debt balances and assumed borrowing rate.</t>
  </si>
  <si>
    <t>EBIT + net financing result.</t>
  </si>
  <si>
    <t>Pretax profit × forecast effective tax rate.</t>
  </si>
  <si>
    <t>Pretax profit less taxes.</t>
  </si>
  <si>
    <t>Based on PP&amp;E/intangible schedules and historical D&amp;A intensity.</t>
  </si>
  <si>
    <t>Operating profit excluding acquired-intangible amortization / benchmark adjustments.</t>
  </si>
  <si>
    <t>Adjusted operating profit + applicable 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</si>
</sst>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[Red]\(#,##0\);\-"/>
    <numFmt numFmtId="165" formatCode="0.0%;[Red]\(0.0%\);\-"/>
    <numFmt numFmtId="166" formatCode="\€0.00;[Red]\(\€0.00\);\-"/>
    <numFmt numFmtId="167" formatCode="#,##0.0;[Red]\(#,##0.0\);\-"/>
    <numFmt numFmtId="168" formatCode="\€#,##0"/>
    <numFmt numFmtId="169" formatCode="0.0"/>
    <numFmt numFmtId="170" formatCode="0.0\x;[Red]\(0.0\x\);\-"/>
  </numFmts>
  <fonts count="22">
    <font>
      <sz val="11"/>
      <name val="Carlito"/>
    </font>
    <font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sz val="11"/>
      <name val="Carlito"/>
    </font>
    <font>
      <b/>
      <sz val="15"/>
      <color rgb="FFFFFF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Carlito"/>
    </font>
    <font>
      <b/>
      <sz val="11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0B1F3A"/>
      </patternFill>
    </fill>
    <fill>
      <patternFill patternType="solid">
        <fgColor rgb="FFF4C896"/>
      </patternFill>
    </fill>
    <fill>
      <patternFill patternType="solid">
        <fgColor rgb="FF17365D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75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5" fillId="3" borderId="2" xfId="0" applyFont="1" applyFill="1" applyBorder="1" applyAlignment="1">
      <alignment horizontal="left"/>
    </xf>
    <xf numFmtId="164" fontId="4" fillId="2" borderId="1" xfId="0" applyNumberFormat="1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5" fillId="2" borderId="4" xfId="0" applyFont="1" applyFill="1" applyBorder="1"/>
    <xf numFmtId="164" fontId="5" fillId="2" borderId="4" xfId="0" applyNumberFormat="1" applyFont="1" applyFill="1" applyBorder="1"/>
    <xf numFmtId="0" fontId="5" fillId="2" borderId="5" xfId="0" applyFont="1" applyFill="1" applyBorder="1"/>
    <xf numFmtId="164" fontId="5" fillId="2" borderId="5" xfId="0" applyNumberFormat="1" applyFont="1" applyFill="1" applyBorder="1"/>
    <xf numFmtId="165" fontId="4" fillId="2" borderId="0" xfId="0" applyNumberFormat="1" applyFont="1" applyFill="1"/>
    <xf numFmtId="165" fontId="7" fillId="2" borderId="1" xfId="0" applyNumberFormat="1" applyFont="1" applyFill="1" applyBorder="1"/>
    <xf numFmtId="165" fontId="4" fillId="2" borderId="1" xfId="0" applyNumberFormat="1" applyFont="1" applyFill="1" applyBorder="1"/>
    <xf numFmtId="164" fontId="2" fillId="2" borderId="0" xfId="0" applyNumberFormat="1" applyFont="1" applyFill="1"/>
    <xf numFmtId="164" fontId="2" fillId="2" borderId="1" xfId="0" applyNumberFormat="1" applyFont="1" applyFill="1" applyBorder="1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164" fontId="8" fillId="2" borderId="0" xfId="0" applyNumberFormat="1" applyFont="1" applyFill="1"/>
    <xf numFmtId="164" fontId="8" fillId="2" borderId="1" xfId="0" applyNumberFormat="1" applyFont="1" applyFill="1" applyBorder="1"/>
    <xf numFmtId="165" fontId="8" fillId="2" borderId="0" xfId="0" applyNumberFormat="1" applyFont="1" applyFill="1"/>
    <xf numFmtId="165" fontId="2" fillId="2" borderId="0" xfId="0" applyNumberFormat="1" applyFont="1" applyFill="1"/>
    <xf numFmtId="165" fontId="8" fillId="2" borderId="1" xfId="0" applyNumberFormat="1" applyFont="1" applyFill="1" applyBorder="1"/>
    <xf numFmtId="165" fontId="2" fillId="2" borderId="1" xfId="0" applyNumberFormat="1" applyFont="1" applyFill="1" applyBorder="1"/>
    <xf numFmtId="164" fontId="5" fillId="3" borderId="2" xfId="0" applyNumberFormat="1" applyFont="1" applyFill="1" applyBorder="1" applyAlignment="1">
      <alignment horizontal="left"/>
    </xf>
    <xf numFmtId="1" fontId="4" fillId="2" borderId="0" xfId="0" applyNumberFormat="1" applyFont="1" applyFill="1"/>
    <xf numFmtId="166" fontId="2" fillId="2" borderId="0" xfId="0" applyNumberFormat="1" applyFont="1" applyFill="1"/>
    <xf numFmtId="166" fontId="4" fillId="2" borderId="0" xfId="0" applyNumberFormat="1" applyFont="1" applyFill="1"/>
    <xf numFmtId="167" fontId="4" fillId="2" borderId="0" xfId="0" applyNumberFormat="1" applyFont="1" applyFill="1"/>
    <xf numFmtId="167" fontId="2" fillId="2" borderId="0" xfId="0" applyNumberFormat="1" applyFont="1" applyFill="1"/>
    <xf numFmtId="167" fontId="9" fillId="3" borderId="2" xfId="0" applyNumberFormat="1" applyFont="1" applyFill="1" applyBorder="1" applyAlignment="1">
      <alignment horizontal="left"/>
    </xf>
    <xf numFmtId="167" fontId="5" fillId="3" borderId="2" xfId="0" applyNumberFormat="1" applyFont="1" applyFill="1" applyBorder="1" applyAlignment="1">
      <alignment horizontal="left"/>
    </xf>
    <xf numFmtId="168" fontId="4" fillId="2" borderId="0" xfId="0" applyNumberFormat="1" applyFont="1" applyFill="1"/>
    <xf numFmtId="167" fontId="5" fillId="2" borderId="4" xfId="0" applyNumberFormat="1" applyFont="1" applyFill="1" applyBorder="1"/>
    <xf numFmtId="165" fontId="5" fillId="2" borderId="4" xfId="0" applyNumberFormat="1" applyFont="1" applyFill="1" applyBorder="1"/>
    <xf numFmtId="167" fontId="8" fillId="2" borderId="0" xfId="0" applyNumberFormat="1" applyFont="1" applyFill="1"/>
    <xf numFmtId="169" fontId="2" fillId="2" borderId="0" xfId="0" applyNumberFormat="1" applyFont="1" applyFill="1"/>
    <xf numFmtId="170" fontId="2" fillId="2" borderId="0" xfId="0" applyNumberFormat="1" applyFont="1" applyFill="1"/>
    <xf numFmtId="9" fontId="2" fillId="2" borderId="0" xfId="0" applyNumberFormat="1" applyFont="1" applyFill="1"/>
    <xf numFmtId="0" fontId="11" fillId="4" borderId="0" xfId="0" applyFont="1" applyFill="1" applyAlignment="1">
      <alignment horizontal="left" vertical="center"/>
    </xf>
    <xf numFmtId="0" fontId="12" fillId="5" borderId="3" xfId="0" applyFont="1" applyFill="1" applyBorder="1" applyAlignment="1">
      <alignment horizontal="left"/>
    </xf>
    <xf numFmtId="0" fontId="13" fillId="0" borderId="0" xfId="0" applyFont="1"/>
    <xf numFmtId="0" fontId="14" fillId="6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2" fillId="2" borderId="11" xfId="0" applyFont="1" applyFill="1" applyBorder="1"/>
    <xf numFmtId="165" fontId="7" fillId="2" borderId="12" xfId="0" applyNumberFormat="1" applyFont="1" applyFill="1" applyBorder="1"/>
    <xf numFmtId="0" fontId="2" fillId="2" borderId="13" xfId="0" applyFont="1" applyFill="1" applyBorder="1"/>
    <xf numFmtId="165" fontId="4" fillId="2" borderId="14" xfId="0" applyNumberFormat="1" applyFont="1" applyFill="1" applyBorder="1"/>
    <xf numFmtId="165" fontId="4" fillId="2" borderId="15" xfId="0" applyNumberFormat="1" applyFont="1" applyFill="1" applyBorder="1"/>
    <xf numFmtId="0" fontId="6" fillId="2" borderId="1" xfId="0" applyFont="1" applyFill="1" applyBorder="1" applyAlignment="1">
      <alignment horizontal="right"/>
    </xf>
    <xf numFmtId="0" fontId="6" fillId="2" borderId="12" xfId="0" applyFont="1" applyFill="1" applyBorder="1" applyAlignment="1">
      <alignment horizontal="right"/>
    </xf>
    <xf numFmtId="0" fontId="2" fillId="2" borderId="12" xfId="0" applyFont="1" applyFill="1" applyBorder="1"/>
    <xf numFmtId="164" fontId="4" fillId="2" borderId="12" xfId="0" applyNumberFormat="1" applyFont="1" applyFill="1" applyBorder="1"/>
    <xf numFmtId="0" fontId="5" fillId="2" borderId="16" xfId="0" applyFont="1" applyFill="1" applyBorder="1"/>
    <xf numFmtId="164" fontId="5" fillId="2" borderId="17" xfId="0" applyNumberFormat="1" applyFont="1" applyFill="1" applyBorder="1"/>
    <xf numFmtId="0" fontId="5" fillId="2" borderId="18" xfId="0" applyFont="1" applyFill="1" applyBorder="1"/>
    <xf numFmtId="164" fontId="5" fillId="2" borderId="19" xfId="0" applyNumberFormat="1" applyFont="1" applyFill="1" applyBorder="1"/>
    <xf numFmtId="164" fontId="5" fillId="2" borderId="20" xfId="0" applyNumberFormat="1" applyFont="1" applyFill="1" applyBorder="1"/>
    <xf numFmtId="0" fontId="2" fillId="2" borderId="21" xfId="0" applyFont="1" applyFill="1" applyBorder="1"/>
    <xf numFmtId="164" fontId="4" fillId="2" borderId="22" xfId="0" applyNumberFormat="1" applyFont="1" applyFill="1" applyBorder="1"/>
    <xf numFmtId="164" fontId="4" fillId="2" borderId="23" xfId="0" applyNumberFormat="1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3" fillId="2" borderId="11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wrapText="1"/>
    </xf>
    <xf numFmtId="0" fontId="5" fillId="2" borderId="24" xfId="0" applyFont="1" applyFill="1" applyBorder="1"/>
    <xf numFmtId="164" fontId="5" fillId="2" borderId="25" xfId="0" applyNumberFormat="1" applyFont="1" applyFill="1" applyBorder="1"/>
    <xf numFmtId="164" fontId="5" fillId="2" borderId="26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right"/>
    </xf>
    <xf numFmtId="164" fontId="2" fillId="2" borderId="12" xfId="0" applyNumberFormat="1" applyFont="1" applyFill="1" applyBorder="1"/>
    <xf numFmtId="0" fontId="2" fillId="2" borderId="14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65" fontId="4" fillId="2" borderId="12" xfId="0" applyNumberFormat="1" applyFont="1" applyFill="1" applyBorder="1"/>
    <xf numFmtId="164" fontId="4" fillId="2" borderId="14" xfId="0" applyNumberFormat="1" applyFont="1" applyFill="1" applyBorder="1"/>
    <xf numFmtId="164" fontId="4" fillId="2" borderId="15" xfId="0" applyNumberFormat="1" applyFont="1" applyFill="1" applyBorder="1"/>
    <xf numFmtId="0" fontId="2" fillId="2" borderId="23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4" fillId="2" borderId="14" xfId="0" applyFont="1" applyFill="1" applyBorder="1"/>
    <xf numFmtId="0" fontId="15" fillId="7" borderId="1" xfId="0" applyFont="1" applyFill="1" applyBorder="1"/>
    <xf numFmtId="0" fontId="16" fillId="7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right"/>
    </xf>
    <xf numFmtId="164" fontId="15" fillId="7" borderId="1" xfId="0" applyNumberFormat="1" applyFont="1" applyFill="1" applyBorder="1"/>
    <xf numFmtId="164" fontId="16" fillId="7" borderId="1" xfId="0" applyNumberFormat="1" applyFont="1" applyFill="1" applyBorder="1"/>
    <xf numFmtId="165" fontId="15" fillId="7" borderId="1" xfId="0" applyNumberFormat="1" applyFont="1" applyFill="1" applyBorder="1"/>
    <xf numFmtId="164" fontId="16" fillId="7" borderId="1" xfId="0" applyNumberFormat="1" applyFont="1" applyFill="1" applyBorder="1" applyAlignment="1">
      <alignment horizontal="left"/>
    </xf>
    <xf numFmtId="1" fontId="15" fillId="7" borderId="1" xfId="0" applyNumberFormat="1" applyFont="1" applyFill="1" applyBorder="1"/>
    <xf numFmtId="166" fontId="15" fillId="7" borderId="1" xfId="0" applyNumberFormat="1" applyFont="1" applyFill="1" applyBorder="1"/>
    <xf numFmtId="0" fontId="17" fillId="7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right"/>
    </xf>
    <xf numFmtId="164" fontId="2" fillId="7" borderId="1" xfId="0" applyNumberFormat="1" applyFont="1" applyFill="1" applyBorder="1"/>
    <xf numFmtId="164" fontId="5" fillId="7" borderId="1" xfId="0" applyNumberFormat="1" applyFont="1" applyFill="1" applyBorder="1"/>
    <xf numFmtId="165" fontId="4" fillId="7" borderId="1" xfId="0" applyNumberFormat="1" applyFont="1" applyFill="1" applyBorder="1"/>
    <xf numFmtId="165" fontId="2" fillId="7" borderId="1" xfId="0" applyNumberFormat="1" applyFont="1" applyFill="1" applyBorder="1"/>
    <xf numFmtId="164" fontId="5" fillId="7" borderId="1" xfId="0" applyNumberFormat="1" applyFont="1" applyFill="1" applyBorder="1" applyAlignment="1">
      <alignment horizontal="left"/>
    </xf>
    <xf numFmtId="1" fontId="4" fillId="7" borderId="1" xfId="0" applyNumberFormat="1" applyFont="1" applyFill="1" applyBorder="1"/>
    <xf numFmtId="166" fontId="2" fillId="7" borderId="1" xfId="0" applyNumberFormat="1" applyFont="1" applyFill="1" applyBorder="1"/>
    <xf numFmtId="166" fontId="4" fillId="7" borderId="1" xfId="0" applyNumberFormat="1" applyFont="1" applyFill="1" applyBorder="1"/>
    <xf numFmtId="0" fontId="0" fillId="7" borderId="1" xfId="0" applyFill="1" applyBorder="1"/>
    <xf numFmtId="0" fontId="5" fillId="7" borderId="27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164" fontId="2" fillId="7" borderId="28" xfId="0" applyNumberFormat="1" applyFont="1" applyFill="1" applyBorder="1"/>
    <xf numFmtId="164" fontId="5" fillId="7" borderId="28" xfId="0" applyNumberFormat="1" applyFont="1" applyFill="1" applyBorder="1"/>
    <xf numFmtId="164" fontId="5" fillId="7" borderId="29" xfId="0" applyNumberFormat="1" applyFont="1" applyFill="1" applyBorder="1"/>
    <xf numFmtId="0" fontId="15" fillId="7" borderId="22" xfId="0" applyFont="1" applyFill="1" applyBorder="1"/>
    <xf numFmtId="0" fontId="2" fillId="7" borderId="22" xfId="0" applyFont="1" applyFill="1" applyBorder="1"/>
    <xf numFmtId="0" fontId="15" fillId="7" borderId="14" xfId="0" applyFont="1" applyFill="1" applyBorder="1"/>
    <xf numFmtId="0" fontId="2" fillId="7" borderId="14" xfId="0" applyFont="1" applyFill="1" applyBorder="1"/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2" xfId="0" applyFont="1" applyFill="1" applyBorder="1"/>
    <xf numFmtId="0" fontId="2" fillId="2" borderId="33" xfId="0" applyFont="1" applyFill="1" applyBorder="1" applyAlignment="1">
      <alignment wrapText="1"/>
    </xf>
    <xf numFmtId="0" fontId="2" fillId="2" borderId="35" xfId="0" applyFont="1" applyFill="1" applyBorder="1" applyAlignment="1">
      <alignment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/>
    </xf>
    <xf numFmtId="165" fontId="2" fillId="2" borderId="12" xfId="0" applyNumberFormat="1" applyFont="1" applyFill="1" applyBorder="1"/>
    <xf numFmtId="165" fontId="8" fillId="2" borderId="14" xfId="0" applyNumberFormat="1" applyFont="1" applyFill="1" applyBorder="1"/>
    <xf numFmtId="0" fontId="18" fillId="7" borderId="11" xfId="0" applyFont="1" applyFill="1" applyBorder="1" applyAlignment="1">
      <alignment horizontal="center" vertical="center"/>
    </xf>
    <xf numFmtId="165" fontId="4" fillId="8" borderId="28" xfId="0" applyNumberFormat="1" applyFont="1" applyFill="1" applyBorder="1"/>
    <xf numFmtId="165" fontId="2" fillId="8" borderId="28" xfId="0" applyNumberFormat="1" applyFont="1" applyFill="1" applyBorder="1"/>
    <xf numFmtId="165" fontId="4" fillId="8" borderId="29" xfId="0" applyNumberFormat="1" applyFont="1" applyFill="1" applyBorder="1"/>
    <xf numFmtId="0" fontId="19" fillId="7" borderId="27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wrapText="1"/>
    </xf>
    <xf numFmtId="0" fontId="20" fillId="2" borderId="7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164" fontId="2" fillId="7" borderId="32" xfId="0" applyNumberFormat="1" applyFont="1" applyFill="1" applyBorder="1"/>
    <xf numFmtId="164" fontId="5" fillId="7" borderId="32" xfId="0" applyNumberFormat="1" applyFont="1" applyFill="1" applyBorder="1"/>
    <xf numFmtId="164" fontId="5" fillId="7" borderId="34" xfId="0" applyNumberFormat="1" applyFont="1" applyFill="1" applyBorder="1"/>
    <xf numFmtId="164" fontId="5" fillId="7" borderId="37" xfId="0" applyNumberFormat="1" applyFont="1" applyFill="1" applyBorder="1"/>
    <xf numFmtId="0" fontId="2" fillId="2" borderId="37" xfId="0" applyFont="1" applyFill="1" applyBorder="1"/>
    <xf numFmtId="164" fontId="2" fillId="7" borderId="30" xfId="0" applyNumberFormat="1" applyFont="1" applyFill="1" applyBorder="1"/>
    <xf numFmtId="164" fontId="2" fillId="7" borderId="36" xfId="0" applyNumberFormat="1" applyFont="1" applyFill="1" applyBorder="1"/>
    <xf numFmtId="0" fontId="2" fillId="2" borderId="36" xfId="0" applyFont="1" applyFill="1" applyBorder="1"/>
    <xf numFmtId="0" fontId="2" fillId="2" borderId="3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5" fillId="2" borderId="25" xfId="0" applyFont="1" applyFill="1" applyBorder="1"/>
    <xf numFmtId="0" fontId="2" fillId="7" borderId="33" xfId="0" applyFont="1" applyFill="1" applyBorder="1" applyAlignment="1">
      <alignment wrapText="1"/>
    </xf>
    <xf numFmtId="0" fontId="2" fillId="7" borderId="37" xfId="0" applyFont="1" applyFill="1" applyBorder="1"/>
    <xf numFmtId="0" fontId="2" fillId="7" borderId="35" xfId="0" applyFont="1" applyFill="1" applyBorder="1" applyAlignment="1">
      <alignment wrapText="1"/>
    </xf>
    <xf numFmtId="0" fontId="5" fillId="2" borderId="19" xfId="0" applyFont="1" applyFill="1" applyBorder="1"/>
    <xf numFmtId="2" fontId="2" fillId="2" borderId="0" xfId="0" applyNumberFormat="1" applyFont="1" applyFill="1"/>
    <xf numFmtId="10" fontId="2" fillId="7" borderId="28" xfId="1" applyNumberFormat="1" applyFont="1" applyFill="1" applyBorder="1"/>
    <xf numFmtId="0" fontId="0" fillId="0" borderId="30" xfId="0" applyBorder="1"/>
    <xf numFmtId="0" fontId="0" fillId="0" borderId="32" xfId="0" applyBorder="1"/>
    <xf numFmtId="0" fontId="0" fillId="0" borderId="34" xfId="0" applyBorder="1"/>
    <xf numFmtId="0" fontId="7" fillId="7" borderId="38" xfId="0" applyFont="1" applyFill="1" applyBorder="1" applyAlignment="1">
      <alignment horizontal="center"/>
    </xf>
    <xf numFmtId="0" fontId="7" fillId="7" borderId="3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5A48-79CD-C942-A8A4-E3D0F3482E96}">
  <dimension ref="A1:P198"/>
  <sheetViews>
    <sheetView zoomScale="75" workbookViewId="0">
      <selection activeCell="C9" sqref="C9"/>
    </sheetView>
  </sheetViews>
  <sheetFormatPr baseColWidth="10" defaultColWidth="8.83203125" defaultRowHeight="15"/>
  <cols>
    <col min="1" max="1" width="14" style="51" customWidth="1"/>
    <col min="2" max="2" width="22" customWidth="1"/>
    <col min="3" max="3" width="18" customWidth="1"/>
    <col min="4" max="4" width="50" customWidth="1"/>
    <col min="5" max="5" width="29" customWidth="1"/>
    <col min="6" max="7" width="31" customWidth="1"/>
    <col min="8" max="8" width="32" customWidth="1"/>
  </cols>
  <sheetData>
    <row r="1" spans="1:16" ht="37.25" customHeight="1">
      <c r="A1" s="44" t="s">
        <v>349</v>
      </c>
      <c r="B1" s="44"/>
      <c r="C1" s="44"/>
      <c r="D1" s="44"/>
      <c r="E1" s="44"/>
      <c r="F1" s="44"/>
      <c r="G1" s="44"/>
      <c r="H1" s="44"/>
      <c r="I1" s="2"/>
      <c r="J1" s="2"/>
      <c r="K1" s="2"/>
      <c r="L1" s="2"/>
      <c r="M1" s="2"/>
      <c r="N1" s="2"/>
      <c r="O1" s="2"/>
      <c r="P1" s="2"/>
    </row>
    <row r="2" spans="1:16">
      <c r="A2" s="45" t="s">
        <v>350</v>
      </c>
      <c r="B2" s="45"/>
      <c r="C2" s="45"/>
      <c r="D2" s="45"/>
      <c r="E2" s="45"/>
      <c r="F2" s="45"/>
      <c r="G2" s="45"/>
      <c r="H2" s="45"/>
      <c r="I2" s="46"/>
      <c r="J2" s="46"/>
      <c r="K2" s="46"/>
      <c r="L2" s="46"/>
      <c r="M2" s="46"/>
      <c r="N2" s="46"/>
      <c r="O2" s="46"/>
      <c r="P2" s="46"/>
    </row>
    <row r="3" spans="1:16">
      <c r="A3" s="47" t="s">
        <v>351</v>
      </c>
      <c r="B3" s="47" t="s">
        <v>352</v>
      </c>
      <c r="C3" s="47" t="s">
        <v>353</v>
      </c>
      <c r="D3" s="47" t="s">
        <v>354</v>
      </c>
      <c r="E3" s="47" t="s">
        <v>355</v>
      </c>
      <c r="F3" s="47" t="s">
        <v>356</v>
      </c>
      <c r="G3" s="47" t="s">
        <v>357</v>
      </c>
      <c r="H3" s="47" t="s">
        <v>358</v>
      </c>
      <c r="I3" s="46"/>
      <c r="J3" s="46"/>
      <c r="K3" s="46"/>
      <c r="L3" s="46"/>
      <c r="M3" s="46"/>
      <c r="N3" s="46"/>
      <c r="O3" s="46"/>
      <c r="P3" s="46"/>
    </row>
    <row r="4" spans="1:16" ht="39">
      <c r="A4" s="48">
        <v>2021</v>
      </c>
      <c r="B4" s="49" t="s">
        <v>359</v>
      </c>
      <c r="C4" s="49" t="s">
        <v>360</v>
      </c>
      <c r="D4" s="49" t="s">
        <v>361</v>
      </c>
      <c r="E4" s="49" t="s">
        <v>362</v>
      </c>
      <c r="F4" s="49" t="s">
        <v>363</v>
      </c>
      <c r="G4" s="49" t="s">
        <v>364</v>
      </c>
      <c r="H4" s="49" t="s">
        <v>365</v>
      </c>
      <c r="I4" s="46"/>
      <c r="J4" s="46"/>
      <c r="K4" s="46"/>
      <c r="L4" s="46"/>
      <c r="M4" s="46"/>
      <c r="N4" s="46"/>
      <c r="O4" s="46"/>
      <c r="P4" s="46"/>
    </row>
    <row r="5" spans="1:16" ht="39">
      <c r="A5" s="48">
        <v>2022</v>
      </c>
      <c r="B5" s="49" t="s">
        <v>366</v>
      </c>
      <c r="C5" s="49" t="s">
        <v>367</v>
      </c>
      <c r="D5" s="49" t="s">
        <v>368</v>
      </c>
      <c r="E5" s="49" t="s">
        <v>369</v>
      </c>
      <c r="F5" s="49" t="s">
        <v>370</v>
      </c>
      <c r="G5" s="49" t="s">
        <v>371</v>
      </c>
      <c r="H5" s="49" t="s">
        <v>372</v>
      </c>
      <c r="I5" s="46"/>
      <c r="J5" s="46"/>
      <c r="K5" s="46"/>
      <c r="L5" s="46"/>
      <c r="M5" s="46"/>
      <c r="N5" s="46"/>
      <c r="O5" s="46"/>
      <c r="P5" s="46"/>
    </row>
    <row r="6" spans="1:16" ht="39">
      <c r="A6" s="48">
        <v>2023</v>
      </c>
      <c r="B6" s="49" t="s">
        <v>373</v>
      </c>
      <c r="C6" s="49" t="s">
        <v>360</v>
      </c>
      <c r="D6" s="49" t="s">
        <v>374</v>
      </c>
      <c r="E6" s="49" t="s">
        <v>375</v>
      </c>
      <c r="F6" s="49" t="s">
        <v>376</v>
      </c>
      <c r="G6" s="49" t="s">
        <v>377</v>
      </c>
      <c r="H6" s="49" t="s">
        <v>378</v>
      </c>
      <c r="I6" s="46"/>
      <c r="J6" s="46"/>
      <c r="K6" s="46"/>
      <c r="L6" s="46"/>
      <c r="M6" s="46"/>
      <c r="N6" s="46"/>
      <c r="O6" s="46"/>
      <c r="P6" s="46"/>
    </row>
    <row r="7" spans="1:16" ht="26">
      <c r="A7" s="48" t="s">
        <v>379</v>
      </c>
      <c r="B7" s="49" t="s">
        <v>380</v>
      </c>
      <c r="C7" s="49" t="s">
        <v>381</v>
      </c>
      <c r="D7" s="49" t="s">
        <v>382</v>
      </c>
      <c r="E7" s="49" t="s">
        <v>383</v>
      </c>
      <c r="F7" s="49" t="s">
        <v>384</v>
      </c>
      <c r="G7" s="49" t="s">
        <v>385</v>
      </c>
      <c r="H7" s="49" t="s">
        <v>386</v>
      </c>
      <c r="I7" s="46"/>
      <c r="J7" s="46"/>
      <c r="K7" s="46"/>
      <c r="L7" s="46"/>
      <c r="M7" s="46"/>
      <c r="N7" s="46"/>
      <c r="O7" s="46"/>
      <c r="P7" s="46"/>
    </row>
    <row r="8" spans="1:16" ht="52">
      <c r="A8" s="48" t="s">
        <v>85</v>
      </c>
      <c r="B8" s="49" t="s">
        <v>387</v>
      </c>
      <c r="C8" s="49" t="s">
        <v>360</v>
      </c>
      <c r="D8" s="49" t="s">
        <v>388</v>
      </c>
      <c r="E8" s="49" t="s">
        <v>389</v>
      </c>
      <c r="F8" s="49" t="s">
        <v>390</v>
      </c>
      <c r="G8" s="49" t="s">
        <v>391</v>
      </c>
      <c r="H8" s="49" t="s">
        <v>392</v>
      </c>
      <c r="I8" s="46"/>
      <c r="J8" s="46"/>
      <c r="K8" s="46"/>
      <c r="L8" s="46"/>
      <c r="M8" s="46"/>
      <c r="N8" s="46"/>
      <c r="O8" s="46"/>
      <c r="P8" s="46"/>
    </row>
    <row r="9" spans="1:16" ht="26">
      <c r="A9" s="48" t="s">
        <v>393</v>
      </c>
      <c r="B9" s="49" t="s">
        <v>394</v>
      </c>
      <c r="C9" s="49" t="s">
        <v>381</v>
      </c>
      <c r="D9" s="49" t="s">
        <v>395</v>
      </c>
      <c r="E9" s="49" t="s">
        <v>394</v>
      </c>
      <c r="F9" s="49" t="s">
        <v>396</v>
      </c>
      <c r="G9" s="49" t="s">
        <v>397</v>
      </c>
      <c r="H9" s="49" t="s">
        <v>398</v>
      </c>
      <c r="I9" s="46"/>
      <c r="J9" s="46"/>
      <c r="K9" s="46"/>
      <c r="L9" s="46"/>
      <c r="M9" s="46"/>
      <c r="N9" s="46"/>
      <c r="O9" s="46"/>
      <c r="P9" s="46"/>
    </row>
    <row r="10" spans="1:16" ht="52">
      <c r="A10" s="48" t="s">
        <v>86</v>
      </c>
      <c r="B10" s="49" t="s">
        <v>399</v>
      </c>
      <c r="C10" s="49" t="s">
        <v>360</v>
      </c>
      <c r="D10" s="49" t="s">
        <v>400</v>
      </c>
      <c r="E10" s="49" t="s">
        <v>401</v>
      </c>
      <c r="F10" s="49" t="s">
        <v>402</v>
      </c>
      <c r="G10" s="49" t="s">
        <v>403</v>
      </c>
      <c r="H10" s="49" t="s">
        <v>87</v>
      </c>
      <c r="I10" s="46"/>
      <c r="J10" s="46"/>
      <c r="K10" s="46"/>
      <c r="L10" s="46"/>
      <c r="M10" s="46"/>
      <c r="N10" s="46"/>
      <c r="O10" s="46"/>
      <c r="P10" s="46"/>
    </row>
    <row r="11" spans="1:16" ht="39">
      <c r="A11" s="48" t="s">
        <v>404</v>
      </c>
      <c r="B11" s="49" t="s">
        <v>405</v>
      </c>
      <c r="C11" s="49" t="s">
        <v>381</v>
      </c>
      <c r="D11" s="49" t="s">
        <v>406</v>
      </c>
      <c r="E11" s="49" t="s">
        <v>407</v>
      </c>
      <c r="F11" s="49" t="s">
        <v>408</v>
      </c>
      <c r="G11" s="49" t="s">
        <v>409</v>
      </c>
      <c r="H11" s="49" t="s">
        <v>410</v>
      </c>
      <c r="I11" s="46"/>
      <c r="J11" s="46"/>
      <c r="K11" s="46"/>
      <c r="L11" s="46"/>
      <c r="M11" s="46"/>
      <c r="N11" s="46"/>
      <c r="O11" s="46"/>
      <c r="P11" s="46"/>
    </row>
    <row r="12" spans="1:16" ht="39">
      <c r="A12" s="48" t="s">
        <v>411</v>
      </c>
      <c r="B12" s="49" t="s">
        <v>412</v>
      </c>
      <c r="C12" s="49" t="s">
        <v>381</v>
      </c>
      <c r="D12" s="49" t="s">
        <v>413</v>
      </c>
      <c r="E12" s="49" t="s">
        <v>414</v>
      </c>
      <c r="F12" s="49" t="s">
        <v>415</v>
      </c>
      <c r="G12" s="49" t="s">
        <v>416</v>
      </c>
      <c r="H12" s="49" t="s">
        <v>417</v>
      </c>
      <c r="I12" s="46"/>
      <c r="J12" s="46"/>
      <c r="K12" s="46"/>
      <c r="L12" s="46"/>
      <c r="M12" s="46"/>
      <c r="N12" s="46"/>
      <c r="O12" s="46"/>
      <c r="P12" s="46"/>
    </row>
    <row r="13" spans="1:16" ht="26">
      <c r="A13" s="48" t="s">
        <v>418</v>
      </c>
      <c r="B13" s="49" t="s">
        <v>419</v>
      </c>
      <c r="C13" s="49" t="s">
        <v>381</v>
      </c>
      <c r="D13" s="49" t="s">
        <v>420</v>
      </c>
      <c r="E13" s="49" t="s">
        <v>421</v>
      </c>
      <c r="F13" s="49" t="s">
        <v>422</v>
      </c>
      <c r="G13" s="49" t="s">
        <v>423</v>
      </c>
      <c r="H13" s="49" t="s">
        <v>424</v>
      </c>
      <c r="I13" s="46"/>
      <c r="J13" s="46"/>
      <c r="K13" s="46"/>
      <c r="L13" s="46"/>
      <c r="M13" s="46"/>
      <c r="N13" s="46"/>
      <c r="O13" s="46"/>
      <c r="P13" s="46"/>
    </row>
    <row r="14" spans="1:16" ht="39">
      <c r="A14" s="48" t="s">
        <v>425</v>
      </c>
      <c r="B14" s="49" t="s">
        <v>426</v>
      </c>
      <c r="C14" s="49" t="s">
        <v>427</v>
      </c>
      <c r="D14" s="49" t="s">
        <v>428</v>
      </c>
      <c r="E14" s="49" t="s">
        <v>429</v>
      </c>
      <c r="F14" s="49" t="s">
        <v>430</v>
      </c>
      <c r="G14" s="49" t="s">
        <v>431</v>
      </c>
      <c r="H14" s="49" t="s">
        <v>432</v>
      </c>
      <c r="I14" s="46"/>
      <c r="J14" s="46"/>
      <c r="K14" s="46"/>
      <c r="L14" s="46"/>
      <c r="M14" s="46"/>
      <c r="N14" s="46"/>
      <c r="O14" s="46"/>
      <c r="P14" s="46"/>
    </row>
    <row r="15" spans="1:16" ht="26">
      <c r="A15" s="48" t="s">
        <v>433</v>
      </c>
      <c r="B15" s="49" t="s">
        <v>434</v>
      </c>
      <c r="C15" s="49" t="s">
        <v>381</v>
      </c>
      <c r="D15" s="49" t="s">
        <v>435</v>
      </c>
      <c r="E15" s="49" t="s">
        <v>436</v>
      </c>
      <c r="F15" s="49" t="s">
        <v>437</v>
      </c>
      <c r="G15" s="49" t="s">
        <v>438</v>
      </c>
      <c r="H15" s="49" t="s">
        <v>439</v>
      </c>
      <c r="I15" s="46"/>
      <c r="J15" s="46"/>
      <c r="K15" s="46"/>
      <c r="L15" s="46"/>
      <c r="M15" s="46"/>
      <c r="N15" s="46"/>
      <c r="O15" s="46"/>
      <c r="P15" s="46"/>
    </row>
    <row r="16" spans="1:16" ht="39">
      <c r="A16" s="48" t="s">
        <v>440</v>
      </c>
      <c r="B16" s="49" t="s">
        <v>441</v>
      </c>
      <c r="C16" s="49" t="s">
        <v>381</v>
      </c>
      <c r="D16" s="49" t="s">
        <v>442</v>
      </c>
      <c r="E16" s="49" t="s">
        <v>443</v>
      </c>
      <c r="F16" s="49" t="s">
        <v>444</v>
      </c>
      <c r="G16" s="49" t="s">
        <v>445</v>
      </c>
      <c r="H16" s="49" t="s">
        <v>89</v>
      </c>
      <c r="I16" s="46"/>
      <c r="J16" s="46"/>
      <c r="K16" s="46"/>
      <c r="L16" s="46"/>
      <c r="M16" s="46"/>
      <c r="N16" s="46"/>
      <c r="O16" s="46"/>
      <c r="P16" s="46"/>
    </row>
    <row r="17" spans="1:16" ht="39">
      <c r="A17" s="48" t="s">
        <v>446</v>
      </c>
      <c r="B17" s="49" t="s">
        <v>447</v>
      </c>
      <c r="C17" s="49" t="s">
        <v>367</v>
      </c>
      <c r="D17" s="49" t="s">
        <v>448</v>
      </c>
      <c r="E17" s="49" t="s">
        <v>449</v>
      </c>
      <c r="F17" s="49" t="s">
        <v>450</v>
      </c>
      <c r="G17" s="49" t="s">
        <v>451</v>
      </c>
      <c r="H17" s="49" t="s">
        <v>452</v>
      </c>
      <c r="I17" s="46"/>
      <c r="J17" s="46"/>
      <c r="K17" s="46"/>
      <c r="L17" s="46"/>
      <c r="M17" s="46"/>
      <c r="N17" s="46"/>
      <c r="O17" s="46"/>
      <c r="P17" s="46"/>
    </row>
    <row r="18" spans="1:16">
      <c r="A18" s="50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1:16">
      <c r="A19" s="45" t="s">
        <v>453</v>
      </c>
      <c r="B19" s="45"/>
      <c r="C19" s="45"/>
      <c r="D19" s="45"/>
      <c r="E19" s="45"/>
      <c r="F19" s="45"/>
      <c r="G19" s="45"/>
      <c r="H19" s="45"/>
      <c r="I19" s="46"/>
      <c r="J19" s="46"/>
      <c r="K19" s="46"/>
      <c r="L19" s="46"/>
      <c r="M19" s="46"/>
      <c r="N19" s="46"/>
      <c r="O19" s="46"/>
      <c r="P19" s="46"/>
    </row>
    <row r="20" spans="1:16">
      <c r="A20" s="47" t="s">
        <v>351</v>
      </c>
      <c r="B20" s="47" t="s">
        <v>352</v>
      </c>
      <c r="C20" s="47" t="s">
        <v>353</v>
      </c>
      <c r="D20" s="47" t="s">
        <v>354</v>
      </c>
      <c r="E20" s="47" t="s">
        <v>355</v>
      </c>
      <c r="F20" s="47" t="s">
        <v>356</v>
      </c>
      <c r="G20" s="47" t="s">
        <v>357</v>
      </c>
      <c r="H20" s="47" t="s">
        <v>358</v>
      </c>
      <c r="I20" s="46"/>
      <c r="J20" s="46"/>
      <c r="K20" s="46"/>
      <c r="L20" s="46"/>
      <c r="M20" s="46"/>
      <c r="N20" s="46"/>
      <c r="O20" s="46"/>
      <c r="P20" s="46"/>
    </row>
    <row r="21" spans="1:16" ht="52">
      <c r="A21" s="48" t="s">
        <v>83</v>
      </c>
      <c r="B21" s="49" t="s">
        <v>454</v>
      </c>
      <c r="C21" s="49" t="s">
        <v>455</v>
      </c>
      <c r="D21" s="49" t="s">
        <v>456</v>
      </c>
      <c r="E21" s="49" t="s">
        <v>457</v>
      </c>
      <c r="F21" s="49" t="s">
        <v>458</v>
      </c>
      <c r="G21" s="49" t="s">
        <v>459</v>
      </c>
      <c r="H21" s="49" t="s">
        <v>460</v>
      </c>
      <c r="I21" s="46"/>
      <c r="J21" s="46"/>
      <c r="K21" s="46"/>
      <c r="L21" s="46"/>
      <c r="M21" s="46"/>
      <c r="N21" s="46"/>
      <c r="O21" s="46"/>
      <c r="P21" s="46"/>
    </row>
    <row r="22" spans="1:16" ht="26">
      <c r="A22" s="48" t="s">
        <v>461</v>
      </c>
      <c r="B22" s="49" t="s">
        <v>462</v>
      </c>
      <c r="C22" s="49" t="s">
        <v>463</v>
      </c>
      <c r="D22" s="49" t="s">
        <v>464</v>
      </c>
      <c r="E22" s="49" t="s">
        <v>465</v>
      </c>
      <c r="F22" s="49" t="s">
        <v>466</v>
      </c>
      <c r="G22" s="49" t="s">
        <v>459</v>
      </c>
      <c r="H22" s="49" t="s">
        <v>467</v>
      </c>
      <c r="I22" s="46"/>
      <c r="J22" s="46"/>
      <c r="K22" s="46"/>
      <c r="L22" s="46"/>
      <c r="M22" s="46"/>
      <c r="N22" s="46"/>
      <c r="O22" s="46"/>
      <c r="P22" s="46"/>
    </row>
    <row r="23" spans="1:16" ht="52">
      <c r="A23" s="48" t="s">
        <v>86</v>
      </c>
      <c r="B23" s="49" t="s">
        <v>468</v>
      </c>
      <c r="C23" s="49" t="s">
        <v>463</v>
      </c>
      <c r="D23" s="49" t="s">
        <v>469</v>
      </c>
      <c r="E23" s="49" t="s">
        <v>470</v>
      </c>
      <c r="F23" s="49" t="s">
        <v>471</v>
      </c>
      <c r="G23" s="49" t="s">
        <v>472</v>
      </c>
      <c r="H23" s="49" t="s">
        <v>473</v>
      </c>
      <c r="I23" s="46"/>
      <c r="J23" s="46"/>
      <c r="K23" s="46"/>
      <c r="L23" s="46"/>
      <c r="M23" s="46"/>
      <c r="N23" s="46"/>
      <c r="O23" s="46"/>
      <c r="P23" s="46"/>
    </row>
    <row r="24" spans="1:16" ht="52">
      <c r="A24" s="48" t="s">
        <v>86</v>
      </c>
      <c r="B24" s="49" t="s">
        <v>474</v>
      </c>
      <c r="C24" s="49" t="s">
        <v>475</v>
      </c>
      <c r="D24" s="49" t="s">
        <v>476</v>
      </c>
      <c r="E24" s="49" t="s">
        <v>477</v>
      </c>
      <c r="F24" s="49" t="s">
        <v>478</v>
      </c>
      <c r="G24" s="49" t="s">
        <v>479</v>
      </c>
      <c r="H24" s="49" t="s">
        <v>480</v>
      </c>
      <c r="I24" s="46"/>
      <c r="J24" s="46"/>
      <c r="K24" s="46"/>
      <c r="L24" s="46"/>
      <c r="M24" s="46"/>
      <c r="N24" s="46"/>
      <c r="O24" s="46"/>
      <c r="P24" s="46"/>
    </row>
    <row r="25" spans="1:16" ht="26">
      <c r="A25" s="48" t="s">
        <v>481</v>
      </c>
      <c r="B25" s="49" t="s">
        <v>482</v>
      </c>
      <c r="C25" s="49" t="s">
        <v>463</v>
      </c>
      <c r="D25" s="49" t="s">
        <v>483</v>
      </c>
      <c r="E25" s="49" t="s">
        <v>484</v>
      </c>
      <c r="F25" s="49" t="s">
        <v>485</v>
      </c>
      <c r="G25" s="49" t="s">
        <v>486</v>
      </c>
      <c r="H25" s="49" t="s">
        <v>487</v>
      </c>
      <c r="I25" s="46"/>
      <c r="J25" s="46"/>
      <c r="K25" s="46"/>
      <c r="L25" s="46"/>
      <c r="M25" s="46"/>
      <c r="N25" s="46"/>
      <c r="O25" s="46"/>
      <c r="P25" s="46"/>
    </row>
    <row r="26" spans="1:16" ht="39">
      <c r="A26" s="48" t="s">
        <v>88</v>
      </c>
      <c r="B26" s="49" t="s">
        <v>488</v>
      </c>
      <c r="C26" s="49" t="s">
        <v>463</v>
      </c>
      <c r="D26" s="49" t="s">
        <v>489</v>
      </c>
      <c r="E26" s="49" t="s">
        <v>490</v>
      </c>
      <c r="F26" s="49" t="s">
        <v>491</v>
      </c>
      <c r="G26" s="49" t="s">
        <v>492</v>
      </c>
      <c r="H26" s="49" t="s">
        <v>493</v>
      </c>
      <c r="I26" s="46"/>
      <c r="J26" s="46"/>
      <c r="K26" s="46"/>
      <c r="L26" s="46"/>
      <c r="M26" s="46"/>
      <c r="N26" s="46"/>
      <c r="O26" s="46"/>
      <c r="P26" s="46"/>
    </row>
    <row r="27" spans="1:16" ht="26">
      <c r="A27" s="48" t="s">
        <v>88</v>
      </c>
      <c r="B27" s="49" t="s">
        <v>494</v>
      </c>
      <c r="C27" s="49" t="s">
        <v>463</v>
      </c>
      <c r="D27" s="49" t="s">
        <v>495</v>
      </c>
      <c r="E27" s="49" t="s">
        <v>496</v>
      </c>
      <c r="F27" s="49" t="s">
        <v>497</v>
      </c>
      <c r="G27" s="49" t="s">
        <v>498</v>
      </c>
      <c r="H27" s="49" t="s">
        <v>499</v>
      </c>
      <c r="I27" s="46"/>
      <c r="J27" s="46"/>
      <c r="K27" s="46"/>
      <c r="L27" s="46"/>
      <c r="M27" s="46"/>
      <c r="N27" s="46"/>
      <c r="O27" s="46"/>
      <c r="P27" s="46"/>
    </row>
    <row r="28" spans="1:16" ht="26">
      <c r="A28" s="48" t="s">
        <v>88</v>
      </c>
      <c r="B28" s="49" t="s">
        <v>500</v>
      </c>
      <c r="C28" s="49" t="s">
        <v>501</v>
      </c>
      <c r="D28" s="49" t="s">
        <v>502</v>
      </c>
      <c r="E28" s="49" t="s">
        <v>503</v>
      </c>
      <c r="F28" s="49" t="s">
        <v>504</v>
      </c>
      <c r="G28" s="49" t="s">
        <v>505</v>
      </c>
      <c r="H28" s="49" t="s">
        <v>506</v>
      </c>
      <c r="I28" s="46"/>
      <c r="J28" s="46"/>
      <c r="K28" s="46"/>
      <c r="L28" s="46"/>
      <c r="M28" s="46"/>
      <c r="N28" s="46"/>
      <c r="O28" s="46"/>
      <c r="P28" s="46"/>
    </row>
    <row r="29" spans="1:16">
      <c r="A29" s="50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</row>
    <row r="30" spans="1:16">
      <c r="A30" s="45" t="s">
        <v>507</v>
      </c>
      <c r="B30" s="45"/>
      <c r="C30" s="45"/>
      <c r="D30" s="45"/>
      <c r="E30" s="45"/>
      <c r="F30" s="45"/>
      <c r="G30" s="45"/>
      <c r="H30" s="45"/>
      <c r="I30" s="46"/>
      <c r="J30" s="46"/>
      <c r="K30" s="46"/>
      <c r="L30" s="46"/>
      <c r="M30" s="46"/>
      <c r="N30" s="46"/>
      <c r="O30" s="46"/>
      <c r="P30" s="46"/>
    </row>
    <row r="31" spans="1:16" ht="26">
      <c r="A31" s="47" t="s">
        <v>508</v>
      </c>
      <c r="B31" s="47" t="s">
        <v>509</v>
      </c>
      <c r="C31" s="47" t="s">
        <v>510</v>
      </c>
      <c r="D31" s="47" t="s">
        <v>511</v>
      </c>
      <c r="E31" s="47" t="s">
        <v>512</v>
      </c>
      <c r="F31" s="47" t="s">
        <v>513</v>
      </c>
      <c r="G31" s="47" t="s">
        <v>514</v>
      </c>
      <c r="H31" s="47" t="s">
        <v>515</v>
      </c>
      <c r="I31" s="46"/>
      <c r="J31" s="46"/>
      <c r="K31" s="46"/>
      <c r="L31" s="46"/>
      <c r="M31" s="46"/>
      <c r="N31" s="46"/>
      <c r="O31" s="46"/>
      <c r="P31" s="46"/>
    </row>
    <row r="32" spans="1:16" ht="52">
      <c r="A32" s="48" t="s">
        <v>83</v>
      </c>
      <c r="B32" s="49" t="s">
        <v>360</v>
      </c>
      <c r="C32" s="49" t="s">
        <v>516</v>
      </c>
      <c r="D32" s="49" t="s">
        <v>517</v>
      </c>
      <c r="E32" s="49" t="s">
        <v>518</v>
      </c>
      <c r="F32" s="49" t="s">
        <v>519</v>
      </c>
      <c r="G32" s="49" t="s">
        <v>520</v>
      </c>
      <c r="H32" s="49" t="s">
        <v>521</v>
      </c>
      <c r="I32" s="46"/>
      <c r="J32" s="46"/>
      <c r="K32" s="46"/>
      <c r="L32" s="46"/>
      <c r="M32" s="46"/>
      <c r="N32" s="46"/>
      <c r="O32" s="46"/>
      <c r="P32" s="46"/>
    </row>
    <row r="33" spans="1:16" ht="52">
      <c r="A33" s="48" t="s">
        <v>461</v>
      </c>
      <c r="B33" s="49" t="s">
        <v>360</v>
      </c>
      <c r="C33" s="49" t="s">
        <v>522</v>
      </c>
      <c r="D33" s="49" t="s">
        <v>523</v>
      </c>
      <c r="E33" s="49" t="s">
        <v>524</v>
      </c>
      <c r="F33" s="49" t="s">
        <v>525</v>
      </c>
      <c r="G33" s="49" t="s">
        <v>520</v>
      </c>
      <c r="H33" s="49" t="s">
        <v>526</v>
      </c>
      <c r="I33" s="46"/>
      <c r="J33" s="46"/>
      <c r="K33" s="46"/>
      <c r="L33" s="46"/>
      <c r="M33" s="46"/>
      <c r="N33" s="46"/>
      <c r="O33" s="46"/>
      <c r="P33" s="46"/>
    </row>
    <row r="34" spans="1:16" ht="39">
      <c r="A34" s="48" t="s">
        <v>84</v>
      </c>
      <c r="B34" s="49" t="s">
        <v>527</v>
      </c>
      <c r="C34" s="49" t="s">
        <v>528</v>
      </c>
      <c r="D34" s="49" t="s">
        <v>529</v>
      </c>
      <c r="E34" s="49" t="s">
        <v>530</v>
      </c>
      <c r="F34" s="49" t="s">
        <v>531</v>
      </c>
      <c r="G34" s="49" t="s">
        <v>520</v>
      </c>
      <c r="H34" s="49" t="s">
        <v>532</v>
      </c>
      <c r="I34" s="46"/>
      <c r="J34" s="46"/>
      <c r="K34" s="46"/>
      <c r="L34" s="46"/>
      <c r="M34" s="46"/>
      <c r="N34" s="46"/>
      <c r="O34" s="46"/>
      <c r="P34" s="46"/>
    </row>
    <row r="35" spans="1:16" ht="39">
      <c r="A35" s="48" t="s">
        <v>85</v>
      </c>
      <c r="B35" s="49" t="s">
        <v>527</v>
      </c>
      <c r="C35" s="49" t="s">
        <v>533</v>
      </c>
      <c r="D35" s="49" t="s">
        <v>534</v>
      </c>
      <c r="E35" s="49" t="s">
        <v>535</v>
      </c>
      <c r="F35" s="49" t="s">
        <v>536</v>
      </c>
      <c r="G35" s="49" t="s">
        <v>520</v>
      </c>
      <c r="H35" s="49" t="s">
        <v>537</v>
      </c>
      <c r="I35" s="46"/>
      <c r="J35" s="46"/>
      <c r="K35" s="46"/>
      <c r="L35" s="46"/>
      <c r="M35" s="46"/>
      <c r="N35" s="46"/>
      <c r="O35" s="46"/>
      <c r="P35" s="46"/>
    </row>
    <row r="36" spans="1:16" ht="52">
      <c r="A36" s="48" t="s">
        <v>86</v>
      </c>
      <c r="B36" s="49" t="s">
        <v>527</v>
      </c>
      <c r="C36" s="49" t="s">
        <v>538</v>
      </c>
      <c r="D36" s="49" t="s">
        <v>539</v>
      </c>
      <c r="E36" s="49" t="s">
        <v>540</v>
      </c>
      <c r="F36" s="49" t="s">
        <v>541</v>
      </c>
      <c r="G36" s="49" t="s">
        <v>520</v>
      </c>
      <c r="H36" s="49" t="s">
        <v>542</v>
      </c>
      <c r="I36" s="46"/>
      <c r="J36" s="46"/>
      <c r="K36" s="46"/>
      <c r="L36" s="46"/>
      <c r="M36" s="46"/>
      <c r="N36" s="46"/>
      <c r="O36" s="46"/>
      <c r="P36" s="46"/>
    </row>
    <row r="37" spans="1:16" ht="52">
      <c r="A37" s="48" t="s">
        <v>543</v>
      </c>
      <c r="B37" s="49" t="s">
        <v>544</v>
      </c>
      <c r="C37" s="49" t="s">
        <v>545</v>
      </c>
      <c r="D37" s="49" t="s">
        <v>546</v>
      </c>
      <c r="E37" s="49" t="s">
        <v>547</v>
      </c>
      <c r="F37" s="49" t="s">
        <v>548</v>
      </c>
      <c r="G37" s="49" t="s">
        <v>520</v>
      </c>
      <c r="H37" s="49" t="s">
        <v>549</v>
      </c>
      <c r="I37" s="46"/>
      <c r="J37" s="46"/>
      <c r="K37" s="46"/>
      <c r="L37" s="46"/>
      <c r="M37" s="46"/>
      <c r="N37" s="46"/>
      <c r="O37" s="46"/>
      <c r="P37" s="46"/>
    </row>
    <row r="38" spans="1:16">
      <c r="A38" s="50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6">
      <c r="A39" s="50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1:16">
      <c r="A40" s="50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>
      <c r="A41" s="50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1:16">
      <c r="A42" s="50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1:16">
      <c r="A43" s="50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1:16">
      <c r="A44" s="50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1:16">
      <c r="A45" s="50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1:16">
      <c r="A46" s="50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1:16">
      <c r="A47" s="50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1:16">
      <c r="A48" s="50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1:16">
      <c r="A49" s="50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1:16">
      <c r="A50" s="50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1:16">
      <c r="A51" s="50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1:16">
      <c r="A52" s="50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1:16">
      <c r="A53" s="50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1:16">
      <c r="A54" s="50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</row>
    <row r="55" spans="1:16">
      <c r="A55" s="50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</row>
    <row r="56" spans="1:16">
      <c r="A56" s="50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1:16">
      <c r="A57" s="50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</row>
    <row r="58" spans="1:16">
      <c r="A58" s="50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</row>
    <row r="59" spans="1:16">
      <c r="A59" s="50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</row>
    <row r="60" spans="1:16">
      <c r="A60" s="50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spans="1:16">
      <c r="A61" s="50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spans="1:16">
      <c r="A62" s="50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spans="1:16">
      <c r="A63" s="50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</row>
    <row r="64" spans="1:16">
      <c r="A64" s="50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</row>
    <row r="65" spans="1:16">
      <c r="A65" s="50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 spans="1:16">
      <c r="A66" s="50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</row>
    <row r="67" spans="1:16">
      <c r="A67" s="50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</row>
    <row r="68" spans="1:16">
      <c r="A68" s="50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</row>
    <row r="69" spans="1:16">
      <c r="A69" s="50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</row>
    <row r="70" spans="1:16">
      <c r="A70" s="50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</row>
    <row r="71" spans="1:16">
      <c r="A71" s="50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 spans="1:16">
      <c r="A72" s="50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</row>
    <row r="73" spans="1:16">
      <c r="A73" s="50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</row>
    <row r="74" spans="1:16">
      <c r="A74" s="50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</row>
    <row r="75" spans="1:16">
      <c r="A75" s="50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1:16">
      <c r="A76" s="50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</row>
    <row r="77" spans="1:16">
      <c r="A77" s="50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1:16">
      <c r="A78" s="50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</row>
    <row r="79" spans="1:16">
      <c r="A79" s="50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1:16">
      <c r="A80" s="50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</row>
    <row r="81" spans="1:16">
      <c r="A81" s="50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</row>
    <row r="82" spans="1:16">
      <c r="A82" s="50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</row>
    <row r="83" spans="1:16">
      <c r="A83" s="50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1:16">
      <c r="A84" s="50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</row>
    <row r="85" spans="1:16">
      <c r="A85" s="50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</row>
    <row r="86" spans="1:16">
      <c r="A86" s="50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</row>
    <row r="87" spans="1:16">
      <c r="A87" s="50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</row>
    <row r="88" spans="1:16">
      <c r="A88" s="50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</row>
    <row r="89" spans="1:16">
      <c r="A89" s="50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</row>
    <row r="90" spans="1:16">
      <c r="A90" s="50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</row>
    <row r="91" spans="1:16">
      <c r="A91" s="50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</row>
    <row r="92" spans="1:16">
      <c r="A92" s="50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</row>
    <row r="93" spans="1:16">
      <c r="A93" s="50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</row>
    <row r="94" spans="1:16">
      <c r="A94" s="50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</row>
    <row r="95" spans="1:16">
      <c r="A95" s="50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</row>
    <row r="96" spans="1:16">
      <c r="A96" s="50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</row>
    <row r="97" spans="1:16">
      <c r="A97" s="50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</row>
    <row r="98" spans="1:16">
      <c r="A98" s="50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</row>
    <row r="99" spans="1:16">
      <c r="A99" s="50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</row>
    <row r="100" spans="1:16">
      <c r="A100" s="50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</row>
    <row r="101" spans="1:16">
      <c r="A101" s="50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</row>
    <row r="102" spans="1:16">
      <c r="A102" s="50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spans="1:16">
      <c r="A103" s="50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spans="1:16">
      <c r="A104" s="50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spans="1:16">
      <c r="A105" s="50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</row>
    <row r="106" spans="1:16">
      <c r="A106" s="50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</row>
    <row r="107" spans="1:16">
      <c r="A107" s="50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</row>
    <row r="108" spans="1:16">
      <c r="A108" s="50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spans="1:16">
      <c r="A109" s="50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spans="1:16">
      <c r="A110" s="50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spans="1:16">
      <c r="A111" s="50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spans="1:16">
      <c r="A112" s="50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spans="1:16">
      <c r="A113" s="50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spans="1:16">
      <c r="A114" s="50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spans="1:16">
      <c r="A115" s="50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spans="1:16">
      <c r="A116" s="50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spans="1:16">
      <c r="A117" s="50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1:16">
      <c r="A118" s="50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spans="1:16">
      <c r="A119" s="50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spans="1:16">
      <c r="A120" s="50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spans="1:16">
      <c r="A121" s="50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spans="1:16">
      <c r="A122" s="50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spans="1:16">
      <c r="A123" s="50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spans="1:16">
      <c r="A124" s="50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spans="1:16">
      <c r="A125" s="50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spans="1:16">
      <c r="A126" s="50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spans="1:16">
      <c r="A127" s="50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spans="1:16">
      <c r="A128" s="50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spans="1:16">
      <c r="A129" s="50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spans="1:16">
      <c r="A130" s="50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spans="1:16">
      <c r="A131" s="50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spans="1:16">
      <c r="A132" s="50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spans="1:16">
      <c r="A133" s="50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spans="1:16">
      <c r="A134" s="50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spans="1:16">
      <c r="A135" s="50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spans="1:16">
      <c r="A136" s="50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spans="1:16">
      <c r="A137" s="50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spans="1:16">
      <c r="A138" s="50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spans="1:16">
      <c r="A139" s="50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spans="1:16">
      <c r="A140" s="50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spans="1:16">
      <c r="A141" s="50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spans="1:16">
      <c r="A142" s="50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spans="1:16">
      <c r="A143" s="50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</row>
    <row r="144" spans="1:16">
      <c r="A144" s="50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</row>
    <row r="145" spans="1:16">
      <c r="A145" s="50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</row>
    <row r="146" spans="1:16">
      <c r="A146" s="50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</row>
    <row r="147" spans="1:16">
      <c r="A147" s="50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</row>
    <row r="148" spans="1:16">
      <c r="A148" s="50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</row>
    <row r="149" spans="1:16">
      <c r="A149" s="50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</row>
    <row r="150" spans="1:16">
      <c r="A150" s="50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</row>
    <row r="151" spans="1:16">
      <c r="A151" s="50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</row>
    <row r="152" spans="1:16">
      <c r="A152" s="50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</row>
    <row r="153" spans="1:16">
      <c r="A153" s="50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</row>
    <row r="154" spans="1:16">
      <c r="A154" s="50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</row>
    <row r="155" spans="1:16">
      <c r="A155" s="50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</row>
    <row r="156" spans="1:16">
      <c r="A156" s="50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</row>
    <row r="157" spans="1:16">
      <c r="A157" s="50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</row>
    <row r="158" spans="1:16">
      <c r="A158" s="50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</row>
    <row r="159" spans="1:16">
      <c r="A159" s="50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</row>
    <row r="160" spans="1:16">
      <c r="A160" s="50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</row>
    <row r="161" spans="1:16">
      <c r="A161" s="50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</row>
    <row r="162" spans="1:16">
      <c r="A162" s="50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</row>
    <row r="163" spans="1:16">
      <c r="A163" s="50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</row>
    <row r="164" spans="1:16">
      <c r="A164" s="50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</row>
    <row r="165" spans="1:16">
      <c r="A165" s="50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</row>
    <row r="166" spans="1:16">
      <c r="A166" s="50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</row>
    <row r="167" spans="1:16">
      <c r="A167" s="50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</row>
    <row r="168" spans="1:16">
      <c r="A168" s="50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</row>
    <row r="169" spans="1:16">
      <c r="A169" s="50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</row>
    <row r="170" spans="1:16">
      <c r="A170" s="50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</row>
    <row r="171" spans="1:16">
      <c r="A171" s="50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</row>
    <row r="172" spans="1:16">
      <c r="A172" s="50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</row>
    <row r="173" spans="1:16">
      <c r="A173" s="50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</row>
    <row r="174" spans="1:16">
      <c r="A174" s="50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</row>
    <row r="175" spans="1:16">
      <c r="A175" s="50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</row>
    <row r="176" spans="1:16">
      <c r="A176" s="50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</row>
    <row r="177" spans="1:16">
      <c r="A177" s="50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</row>
    <row r="178" spans="1:16">
      <c r="A178" s="50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</row>
    <row r="179" spans="1:16">
      <c r="A179" s="50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</row>
    <row r="180" spans="1:16">
      <c r="A180" s="50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</row>
    <row r="181" spans="1:16">
      <c r="A181" s="50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</row>
    <row r="182" spans="1:16">
      <c r="A182" s="50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</row>
    <row r="183" spans="1:16">
      <c r="A183" s="50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</row>
    <row r="184" spans="1:16">
      <c r="A184" s="50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</row>
    <row r="185" spans="1:16">
      <c r="A185" s="50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</row>
    <row r="186" spans="1:16">
      <c r="A186" s="50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</row>
    <row r="187" spans="1:16">
      <c r="A187" s="50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</row>
    <row r="188" spans="1:16">
      <c r="A188" s="50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</row>
    <row r="189" spans="1:16">
      <c r="A189" s="50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</row>
    <row r="190" spans="1:16">
      <c r="A190" s="50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</row>
    <row r="191" spans="1:16">
      <c r="A191" s="50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</row>
    <row r="192" spans="1:16">
      <c r="A192" s="50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</row>
    <row r="193" spans="1:16">
      <c r="A193" s="50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</row>
    <row r="194" spans="1:16">
      <c r="A194" s="50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</row>
    <row r="195" spans="1:16">
      <c r="A195" s="50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</row>
    <row r="196" spans="1:16">
      <c r="A196" s="50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</row>
    <row r="197" spans="1:16">
      <c r="A197" s="50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</row>
    <row r="198" spans="1:16">
      <c r="A198" s="50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</row>
  </sheetData>
  <mergeCells count="4">
    <mergeCell ref="A1:H1"/>
    <mergeCell ref="A2:H2"/>
    <mergeCell ref="A19:H19"/>
    <mergeCell ref="A30:H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opLeftCell="A21" workbookViewId="0">
      <selection activeCell="J64" sqref="J64"/>
    </sheetView>
  </sheetViews>
  <sheetFormatPr baseColWidth="10" defaultColWidth="8.83203125" defaultRowHeight="15"/>
  <cols>
    <col min="1" max="1" width="43" customWidth="1"/>
    <col min="2" max="6" width="12" customWidth="1"/>
  </cols>
  <sheetData>
    <row r="1" spans="1:6">
      <c r="A1" s="69"/>
      <c r="B1" s="72"/>
      <c r="C1" s="72"/>
      <c r="D1" s="72"/>
      <c r="E1" s="72"/>
      <c r="F1" s="73"/>
    </row>
    <row r="2" spans="1:6" ht="18">
      <c r="A2" s="74" t="s">
        <v>0</v>
      </c>
      <c r="B2" s="4"/>
      <c r="C2" s="4"/>
      <c r="D2" s="4"/>
      <c r="E2" s="4"/>
      <c r="F2" s="62"/>
    </row>
    <row r="3" spans="1:6" ht="16" thickBot="1">
      <c r="A3" s="57" t="s">
        <v>1</v>
      </c>
      <c r="B3" s="75"/>
      <c r="C3" s="75"/>
      <c r="D3" s="75"/>
      <c r="E3" s="75"/>
      <c r="F3" s="76"/>
    </row>
    <row r="4" spans="1:6">
      <c r="A4" s="69"/>
      <c r="B4" s="72"/>
      <c r="C4" s="73"/>
      <c r="D4" s="3"/>
      <c r="E4" s="3"/>
      <c r="F4" s="3"/>
    </row>
    <row r="5" spans="1:6">
      <c r="A5" s="55" t="s">
        <v>2</v>
      </c>
      <c r="B5" s="7" t="s">
        <v>3</v>
      </c>
      <c r="C5" s="62"/>
      <c r="D5" s="3"/>
      <c r="E5" s="3"/>
      <c r="F5" s="3"/>
    </row>
    <row r="6" spans="1:6">
      <c r="A6" s="55" t="s">
        <v>4</v>
      </c>
      <c r="B6" s="7" t="s">
        <v>5</v>
      </c>
      <c r="C6" s="62"/>
      <c r="D6" s="3"/>
      <c r="E6" s="3"/>
      <c r="F6" s="3"/>
    </row>
    <row r="7" spans="1:6">
      <c r="A7" s="55" t="s">
        <v>6</v>
      </c>
      <c r="B7" s="7" t="s">
        <v>7</v>
      </c>
      <c r="C7" s="62"/>
      <c r="D7" s="3"/>
      <c r="E7" s="3"/>
      <c r="F7" s="3"/>
    </row>
    <row r="8" spans="1:6">
      <c r="A8" s="55" t="s">
        <v>8</v>
      </c>
      <c r="B8" s="77" t="s">
        <v>9</v>
      </c>
      <c r="C8" s="62"/>
      <c r="D8" s="3"/>
      <c r="E8" s="3"/>
      <c r="F8" s="3"/>
    </row>
    <row r="9" spans="1:6">
      <c r="A9" s="55" t="s">
        <v>10</v>
      </c>
      <c r="B9" s="77" t="s">
        <v>11</v>
      </c>
      <c r="C9" s="62"/>
      <c r="D9" s="3"/>
      <c r="E9" s="3"/>
      <c r="F9" s="3"/>
    </row>
    <row r="10" spans="1:6">
      <c r="A10" s="55" t="s">
        <v>12</v>
      </c>
      <c r="B10" s="7">
        <v>231.8</v>
      </c>
      <c r="C10" s="62"/>
      <c r="D10" s="3"/>
      <c r="E10" s="3"/>
      <c r="F10" s="3"/>
    </row>
    <row r="11" spans="1:6" ht="114" thickBot="1">
      <c r="A11" s="78" t="s">
        <v>13</v>
      </c>
      <c r="B11" s="79" t="s">
        <v>14</v>
      </c>
      <c r="C11" s="76"/>
      <c r="D11" s="3"/>
      <c r="E11" s="3"/>
      <c r="F11" s="3"/>
    </row>
    <row r="12" spans="1:6" ht="16" thickBot="1">
      <c r="A12" s="3"/>
      <c r="B12" s="3"/>
      <c r="C12" s="3"/>
      <c r="D12" s="3"/>
      <c r="E12" s="3"/>
      <c r="F12" s="3"/>
    </row>
    <row r="13" spans="1:6">
      <c r="A13" s="52" t="s">
        <v>15</v>
      </c>
      <c r="B13" s="53"/>
      <c r="C13" s="53"/>
      <c r="D13" s="53"/>
      <c r="E13" s="53"/>
      <c r="F13" s="54"/>
    </row>
    <row r="14" spans="1:6">
      <c r="A14" s="55"/>
      <c r="B14" s="60" t="s">
        <v>16</v>
      </c>
      <c r="C14" s="60" t="s">
        <v>17</v>
      </c>
      <c r="D14" s="60" t="s">
        <v>18</v>
      </c>
      <c r="E14" s="60" t="s">
        <v>9</v>
      </c>
      <c r="F14" s="61" t="s">
        <v>11</v>
      </c>
    </row>
    <row r="15" spans="1:6" ht="16" thickBot="1">
      <c r="A15" s="55"/>
      <c r="B15" s="4"/>
      <c r="C15" s="4"/>
      <c r="D15" s="4"/>
      <c r="E15" s="4"/>
      <c r="F15" s="62"/>
    </row>
    <row r="16" spans="1:6">
      <c r="A16" s="69" t="s">
        <v>19</v>
      </c>
      <c r="B16" s="70">
        <v>4771</v>
      </c>
      <c r="C16" s="70">
        <v>5453</v>
      </c>
      <c r="D16" s="70">
        <v>5584</v>
      </c>
      <c r="E16" s="70">
        <v>5916</v>
      </c>
      <c r="F16" s="71">
        <v>6125</v>
      </c>
    </row>
    <row r="17" spans="1:6">
      <c r="A17" s="55" t="s">
        <v>20</v>
      </c>
      <c r="B17" s="9">
        <v>-1374</v>
      </c>
      <c r="C17" s="9">
        <v>-1578</v>
      </c>
      <c r="D17" s="9">
        <v>-1576</v>
      </c>
      <c r="E17" s="9">
        <v>-1626</v>
      </c>
      <c r="F17" s="63">
        <v>-1625</v>
      </c>
    </row>
    <row r="18" spans="1:6">
      <c r="A18" s="64" t="s">
        <v>21</v>
      </c>
      <c r="B18" s="15">
        <f>SUM(B16:B17)</f>
        <v>3397</v>
      </c>
      <c r="C18" s="15">
        <f t="shared" ref="C18:F18" si="0">SUM(C16:C17)</f>
        <v>3875</v>
      </c>
      <c r="D18" s="15">
        <f t="shared" si="0"/>
        <v>4008</v>
      </c>
      <c r="E18" s="15">
        <f t="shared" si="0"/>
        <v>4290</v>
      </c>
      <c r="F18" s="65">
        <f t="shared" si="0"/>
        <v>4500</v>
      </c>
    </row>
    <row r="19" spans="1:6">
      <c r="A19" s="55" t="s">
        <v>22</v>
      </c>
      <c r="B19" s="9">
        <v>-466</v>
      </c>
      <c r="C19" s="9">
        <v>-541</v>
      </c>
      <c r="D19" s="9">
        <v>-591</v>
      </c>
      <c r="E19" s="9">
        <v>-688</v>
      </c>
      <c r="F19" s="63">
        <v>-724</v>
      </c>
    </row>
    <row r="20" spans="1:6">
      <c r="A20" s="55" t="s">
        <v>23</v>
      </c>
      <c r="B20" s="9">
        <v>-806</v>
      </c>
      <c r="C20" s="9">
        <v>-914</v>
      </c>
      <c r="D20" s="9">
        <v>-929</v>
      </c>
      <c r="E20" s="9">
        <v>-969</v>
      </c>
      <c r="F20" s="63">
        <v>-975</v>
      </c>
    </row>
    <row r="21" spans="1:6">
      <c r="A21" s="55" t="s">
        <v>24</v>
      </c>
      <c r="B21" s="9">
        <v>-920</v>
      </c>
      <c r="C21" s="9">
        <v>-996</v>
      </c>
      <c r="D21" s="9">
        <v>-1012</v>
      </c>
      <c r="E21" s="9">
        <v>-1033</v>
      </c>
      <c r="F21" s="63">
        <v>-1114</v>
      </c>
    </row>
    <row r="22" spans="1:6">
      <c r="A22" s="55" t="s">
        <v>25</v>
      </c>
      <c r="B22" s="9">
        <v>-164</v>
      </c>
      <c r="C22" s="9">
        <v>-160</v>
      </c>
      <c r="D22" s="9">
        <v>-146</v>
      </c>
      <c r="E22" s="9">
        <v>-149</v>
      </c>
      <c r="F22" s="63">
        <v>-157</v>
      </c>
    </row>
    <row r="23" spans="1:6">
      <c r="A23" s="55" t="s">
        <v>26</v>
      </c>
      <c r="B23" s="9">
        <v>-29</v>
      </c>
      <c r="C23" s="9">
        <v>69</v>
      </c>
      <c r="D23" s="9">
        <v>-7</v>
      </c>
      <c r="E23" s="9">
        <v>-10</v>
      </c>
      <c r="F23" s="63">
        <v>205</v>
      </c>
    </row>
    <row r="24" spans="1:6">
      <c r="A24" s="64" t="s">
        <v>27</v>
      </c>
      <c r="B24" s="15">
        <f>SUM(B18:B23)</f>
        <v>1012</v>
      </c>
      <c r="C24" s="15">
        <f t="shared" ref="C24:F24" si="1">SUM(C18:C23)</f>
        <v>1333</v>
      </c>
      <c r="D24" s="15">
        <f t="shared" si="1"/>
        <v>1323</v>
      </c>
      <c r="E24" s="15">
        <f t="shared" si="1"/>
        <v>1441</v>
      </c>
      <c r="F24" s="65">
        <f t="shared" si="1"/>
        <v>1735</v>
      </c>
    </row>
    <row r="25" spans="1:6">
      <c r="A25" s="55" t="s">
        <v>28</v>
      </c>
      <c r="B25" s="9">
        <v>4</v>
      </c>
      <c r="C25" s="9">
        <v>21</v>
      </c>
      <c r="D25" s="9">
        <v>55</v>
      </c>
      <c r="E25" s="9">
        <v>52</v>
      </c>
      <c r="F25" s="63">
        <v>29</v>
      </c>
    </row>
    <row r="26" spans="1:6">
      <c r="A26" s="55" t="s">
        <v>29</v>
      </c>
      <c r="B26" s="9">
        <v>-82</v>
      </c>
      <c r="C26" s="9">
        <v>-77</v>
      </c>
      <c r="D26" s="9">
        <v>-82</v>
      </c>
      <c r="E26" s="9">
        <v>-114</v>
      </c>
      <c r="F26" s="63">
        <v>-115</v>
      </c>
    </row>
    <row r="27" spans="1:6">
      <c r="A27" s="55" t="s">
        <v>30</v>
      </c>
      <c r="B27" s="9">
        <v>-6</v>
      </c>
      <c r="C27" s="9">
        <v>-1</v>
      </c>
      <c r="D27" s="9">
        <v>0</v>
      </c>
      <c r="E27" s="9">
        <v>-3</v>
      </c>
      <c r="F27" s="63">
        <v>-2</v>
      </c>
    </row>
    <row r="28" spans="1:6">
      <c r="A28" s="64" t="s">
        <v>31</v>
      </c>
      <c r="B28" s="15">
        <f>SUM(B24:B27)</f>
        <v>928</v>
      </c>
      <c r="C28" s="15">
        <f t="shared" ref="C28:F28" si="2">SUM(C24:C27)</f>
        <v>1276</v>
      </c>
      <c r="D28" s="15">
        <f t="shared" si="2"/>
        <v>1296</v>
      </c>
      <c r="E28" s="15">
        <f t="shared" si="2"/>
        <v>1376</v>
      </c>
      <c r="F28" s="65">
        <f t="shared" si="2"/>
        <v>1647</v>
      </c>
    </row>
    <row r="29" spans="1:6">
      <c r="A29" s="55" t="s">
        <v>32</v>
      </c>
      <c r="B29" s="9">
        <v>-201</v>
      </c>
      <c r="C29" s="9">
        <v>-249</v>
      </c>
      <c r="D29" s="9">
        <v>-290</v>
      </c>
      <c r="E29" s="9">
        <v>-299</v>
      </c>
      <c r="F29" s="63">
        <v>-341</v>
      </c>
    </row>
    <row r="30" spans="1:6" ht="16" thickBot="1">
      <c r="A30" s="66" t="s">
        <v>33</v>
      </c>
      <c r="B30" s="67">
        <f>SUM(B28:B29)</f>
        <v>727</v>
      </c>
      <c r="C30" s="67">
        <f t="shared" ref="C30:F30" si="3">SUM(C28:C29)</f>
        <v>1027</v>
      </c>
      <c r="D30" s="67">
        <f t="shared" si="3"/>
        <v>1006</v>
      </c>
      <c r="E30" s="67">
        <f t="shared" si="3"/>
        <v>1077</v>
      </c>
      <c r="F30" s="68">
        <f t="shared" si="3"/>
        <v>1306</v>
      </c>
    </row>
    <row r="31" spans="1:6">
      <c r="A31" s="55"/>
      <c r="B31" s="4"/>
      <c r="C31" s="4"/>
      <c r="D31" s="4"/>
      <c r="E31" s="4"/>
      <c r="F31" s="62"/>
    </row>
    <row r="32" spans="1:6">
      <c r="A32" s="55" t="s">
        <v>34</v>
      </c>
      <c r="B32" s="9">
        <v>473</v>
      </c>
      <c r="C32" s="9">
        <v>466</v>
      </c>
      <c r="D32" s="9">
        <v>445</v>
      </c>
      <c r="E32" s="9">
        <v>479</v>
      </c>
      <c r="F32" s="63">
        <v>477</v>
      </c>
    </row>
    <row r="33" spans="1:7">
      <c r="A33" s="64" t="s">
        <v>35</v>
      </c>
      <c r="B33" s="15">
        <f>B24+B32</f>
        <v>1485</v>
      </c>
      <c r="C33" s="15">
        <f t="shared" ref="C33:F33" si="4">C24+C32</f>
        <v>1799</v>
      </c>
      <c r="D33" s="15">
        <f t="shared" si="4"/>
        <v>1768</v>
      </c>
      <c r="E33" s="15">
        <f t="shared" si="4"/>
        <v>1920</v>
      </c>
      <c r="F33" s="65">
        <f t="shared" si="4"/>
        <v>2212</v>
      </c>
    </row>
    <row r="34" spans="1:7">
      <c r="A34" s="64" t="s">
        <v>36</v>
      </c>
      <c r="B34" s="15">
        <v>1205</v>
      </c>
      <c r="C34" s="15">
        <v>1424</v>
      </c>
      <c r="D34" s="15">
        <v>1476</v>
      </c>
      <c r="E34" s="15">
        <v>1600</v>
      </c>
      <c r="F34" s="65">
        <v>1687</v>
      </c>
    </row>
    <row r="35" spans="1:7" ht="16" thickBot="1">
      <c r="A35" s="66" t="s">
        <v>37</v>
      </c>
      <c r="B35" s="67">
        <v>1514</v>
      </c>
      <c r="C35" s="67">
        <v>1730</v>
      </c>
      <c r="D35" s="67">
        <v>1775</v>
      </c>
      <c r="E35" s="67">
        <v>1930</v>
      </c>
      <c r="F35" s="68">
        <v>2007</v>
      </c>
    </row>
    <row r="36" spans="1:7">
      <c r="A36" s="10"/>
      <c r="B36" s="11"/>
      <c r="C36" s="11"/>
      <c r="D36" s="11"/>
      <c r="E36" s="11"/>
      <c r="F36" s="11"/>
    </row>
    <row r="37" spans="1:7" ht="16" thickBot="1">
      <c r="A37" s="3"/>
      <c r="B37" s="3"/>
      <c r="C37" s="3"/>
      <c r="D37" s="3"/>
      <c r="E37" s="3"/>
      <c r="F37" s="3"/>
    </row>
    <row r="38" spans="1:7">
      <c r="A38" s="52" t="s">
        <v>38</v>
      </c>
      <c r="B38" s="53"/>
      <c r="C38" s="53"/>
      <c r="D38" s="53"/>
      <c r="E38" s="53"/>
      <c r="F38" s="54"/>
    </row>
    <row r="39" spans="1:7">
      <c r="A39" s="55" t="s">
        <v>39</v>
      </c>
      <c r="B39" s="17"/>
      <c r="C39" s="17">
        <f>C16/B16-1</f>
        <v>0.1429469712848459</v>
      </c>
      <c r="D39" s="17">
        <f>D16/C16-1</f>
        <v>2.4023473317440036E-2</v>
      </c>
      <c r="E39" s="17">
        <f>E16/D16-1</f>
        <v>5.9455587392550191E-2</v>
      </c>
      <c r="F39" s="56">
        <f>F16/E16-1</f>
        <v>3.5327924273157452E-2</v>
      </c>
    </row>
    <row r="40" spans="1:7">
      <c r="A40" s="55" t="s">
        <v>40</v>
      </c>
      <c r="B40" s="17">
        <f>B18/B16</f>
        <v>0.71201006078390272</v>
      </c>
      <c r="C40" s="17">
        <f>C18/C16</f>
        <v>0.71061800843572343</v>
      </c>
      <c r="D40" s="17">
        <f>D18/D16</f>
        <v>0.7177650429799427</v>
      </c>
      <c r="E40" s="17">
        <f>E18/E16</f>
        <v>0.72515212981744426</v>
      </c>
      <c r="F40" s="56">
        <f>F18/F16</f>
        <v>0.73469387755102045</v>
      </c>
    </row>
    <row r="41" spans="1:7">
      <c r="A41" s="55" t="s">
        <v>41</v>
      </c>
      <c r="B41" s="17">
        <f>-B19/B16</f>
        <v>9.7673443722490039E-2</v>
      </c>
      <c r="C41" s="17">
        <f>-C19/C16</f>
        <v>9.9211443242251965E-2</v>
      </c>
      <c r="D41" s="17">
        <f>-D19/D16</f>
        <v>0.10583810888252149</v>
      </c>
      <c r="E41" s="17">
        <f>-E19/E16</f>
        <v>0.1162947937795808</v>
      </c>
      <c r="F41" s="56">
        <f>-F19/F16</f>
        <v>0.11820408163265306</v>
      </c>
    </row>
    <row r="42" spans="1:7">
      <c r="A42" s="55" t="s">
        <v>42</v>
      </c>
      <c r="B42" s="17">
        <f>-B20/B16</f>
        <v>0.16893732970027248</v>
      </c>
      <c r="C42" s="17">
        <f>-C20/C16</f>
        <v>0.16761415734458096</v>
      </c>
      <c r="D42" s="17">
        <f>-D20/D16</f>
        <v>0.16636819484240686</v>
      </c>
      <c r="E42" s="17">
        <f>-E20/E16</f>
        <v>0.16379310344827586</v>
      </c>
      <c r="F42" s="56">
        <f>-F20/F16</f>
        <v>0.15918367346938775</v>
      </c>
    </row>
    <row r="43" spans="1:7">
      <c r="A43" s="55" t="s">
        <v>43</v>
      </c>
      <c r="B43" s="17">
        <f>-SUM(B21:B22)/B16</f>
        <v>0.22720603647034165</v>
      </c>
      <c r="C43" s="17">
        <f>-SUM(C21:C22)/C16</f>
        <v>0.21199339812947002</v>
      </c>
      <c r="D43" s="17">
        <f>-SUM(D21:D22)/D16</f>
        <v>0.20737822349570201</v>
      </c>
      <c r="E43" s="17">
        <f>-SUM(E21:E22)/E16</f>
        <v>0.19979716024340771</v>
      </c>
      <c r="F43" s="56">
        <f>-SUM(F21:F22)/F16</f>
        <v>0.20751020408163265</v>
      </c>
    </row>
    <row r="44" spans="1:7">
      <c r="A44" s="55" t="s">
        <v>44</v>
      </c>
      <c r="B44" s="17">
        <f>B24/B16</f>
        <v>0.21211486061622301</v>
      </c>
      <c r="C44" s="17">
        <f>C24/C16</f>
        <v>0.24445259490188886</v>
      </c>
      <c r="D44" s="17">
        <f>D24/D16</f>
        <v>0.23692693409742122</v>
      </c>
      <c r="E44" s="17">
        <f>E24/E16</f>
        <v>0.24357674104124408</v>
      </c>
      <c r="F44" s="56">
        <f>F24/F16</f>
        <v>0.28326530612244899</v>
      </c>
    </row>
    <row r="45" spans="1:7">
      <c r="A45" s="55" t="s">
        <v>45</v>
      </c>
      <c r="B45" s="17">
        <f>-B29/B28</f>
        <v>0.21659482758620691</v>
      </c>
      <c r="C45" s="17">
        <f>-C29/C28</f>
        <v>0.19514106583072099</v>
      </c>
      <c r="D45" s="17">
        <f>-D29/D28</f>
        <v>0.22376543209876543</v>
      </c>
      <c r="E45" s="17">
        <f>-E29/E28</f>
        <v>0.21729651162790697</v>
      </c>
      <c r="F45" s="56">
        <f>-F29/F28</f>
        <v>0.20704310868245293</v>
      </c>
    </row>
    <row r="46" spans="1:7">
      <c r="A46" s="55" t="s">
        <v>46</v>
      </c>
      <c r="B46" s="17">
        <f>B34/B16</f>
        <v>0.25256759589184657</v>
      </c>
      <c r="C46" s="17">
        <f>C34/C16</f>
        <v>0.26114065651934715</v>
      </c>
      <c r="D46" s="17">
        <f>D34/D16</f>
        <v>0.26432664756446994</v>
      </c>
      <c r="E46" s="17">
        <f>E34/E16</f>
        <v>0.27045300878972278</v>
      </c>
      <c r="F46" s="56">
        <f>F34/F16</f>
        <v>0.27542857142857141</v>
      </c>
    </row>
    <row r="47" spans="1:7" ht="16" thickBot="1">
      <c r="A47" s="57" t="s">
        <v>47</v>
      </c>
      <c r="B47" s="58">
        <v>0.1</v>
      </c>
      <c r="C47" s="58">
        <v>0.11</v>
      </c>
      <c r="D47" s="58">
        <v>0.11</v>
      </c>
      <c r="E47" s="58">
        <v>0.11</v>
      </c>
      <c r="F47" s="59">
        <v>0.11</v>
      </c>
      <c r="G47" t="s">
        <v>550</v>
      </c>
    </row>
    <row r="48" spans="1:7">
      <c r="A48" s="4"/>
      <c r="B48" s="18"/>
      <c r="C48" s="18"/>
      <c r="D48" s="18"/>
      <c r="E48" s="18"/>
      <c r="F48" s="18"/>
    </row>
    <row r="49" spans="1:6" ht="16" thickBot="1">
      <c r="A49" s="3"/>
      <c r="B49" s="3"/>
      <c r="C49" s="3"/>
      <c r="D49" s="3"/>
      <c r="E49" s="3"/>
      <c r="F49" s="3"/>
    </row>
    <row r="50" spans="1:6">
      <c r="A50" s="52" t="s">
        <v>48</v>
      </c>
      <c r="B50" s="53"/>
      <c r="C50" s="53"/>
      <c r="D50" s="53"/>
      <c r="E50" s="53"/>
      <c r="F50" s="54"/>
    </row>
    <row r="51" spans="1:6">
      <c r="A51" s="55"/>
      <c r="B51" s="83" t="s">
        <v>16</v>
      </c>
      <c r="C51" s="83" t="s">
        <v>17</v>
      </c>
      <c r="D51" s="83" t="s">
        <v>18</v>
      </c>
      <c r="E51" s="83" t="s">
        <v>9</v>
      </c>
      <c r="F51" s="84" t="s">
        <v>11</v>
      </c>
    </row>
    <row r="52" spans="1:6" ht="16" thickBot="1">
      <c r="A52" s="57"/>
      <c r="B52" s="86"/>
      <c r="C52" s="86"/>
      <c r="D52" s="86"/>
      <c r="E52" s="86"/>
      <c r="F52" s="87"/>
    </row>
    <row r="53" spans="1:6">
      <c r="A53" s="55" t="s">
        <v>49</v>
      </c>
      <c r="B53" s="9">
        <v>1001</v>
      </c>
      <c r="C53" s="9">
        <v>1346</v>
      </c>
      <c r="D53" s="9">
        <v>1135</v>
      </c>
      <c r="E53" s="9">
        <v>954</v>
      </c>
      <c r="F53" s="63">
        <v>932</v>
      </c>
    </row>
    <row r="54" spans="1:6">
      <c r="A54" s="55" t="s">
        <v>50</v>
      </c>
      <c r="B54" s="9">
        <v>1008</v>
      </c>
      <c r="C54" s="9">
        <v>1088</v>
      </c>
      <c r="D54" s="9">
        <v>1087</v>
      </c>
      <c r="E54" s="9">
        <v>1129</v>
      </c>
      <c r="F54" s="63">
        <v>1075</v>
      </c>
    </row>
    <row r="55" spans="1:6">
      <c r="A55" s="55" t="s">
        <v>51</v>
      </c>
      <c r="B55" s="9">
        <v>65</v>
      </c>
      <c r="C55" s="9">
        <v>79</v>
      </c>
      <c r="D55" s="9">
        <v>84</v>
      </c>
      <c r="E55" s="9">
        <v>79</v>
      </c>
      <c r="F55" s="63">
        <v>62</v>
      </c>
    </row>
    <row r="56" spans="1:6">
      <c r="A56" s="55" t="s">
        <v>52</v>
      </c>
      <c r="B56" s="9">
        <v>664</v>
      </c>
      <c r="C56" s="9">
        <v>464</v>
      </c>
      <c r="D56" s="9">
        <v>448</v>
      </c>
      <c r="E56" s="9">
        <v>495</v>
      </c>
      <c r="F56" s="63">
        <v>564</v>
      </c>
    </row>
    <row r="57" spans="1:6">
      <c r="A57" s="55" t="s">
        <v>53</v>
      </c>
      <c r="B57" s="9">
        <v>75</v>
      </c>
      <c r="C57" s="9">
        <v>79</v>
      </c>
      <c r="D57" s="9">
        <v>79</v>
      </c>
      <c r="E57" s="9">
        <v>79</v>
      </c>
      <c r="F57" s="63">
        <v>68</v>
      </c>
    </row>
    <row r="58" spans="1:6">
      <c r="A58" s="55" t="s">
        <v>54</v>
      </c>
      <c r="B58" s="9">
        <v>6215</v>
      </c>
      <c r="C58" s="9">
        <v>6454</v>
      </c>
      <c r="D58" s="9">
        <v>6261</v>
      </c>
      <c r="E58" s="9">
        <v>6762</v>
      </c>
      <c r="F58" s="63">
        <v>6883</v>
      </c>
    </row>
    <row r="59" spans="1:6">
      <c r="A59" s="55"/>
      <c r="B59" s="20"/>
      <c r="C59" s="20"/>
      <c r="D59" s="20"/>
      <c r="E59" s="20"/>
      <c r="F59" s="85"/>
    </row>
    <row r="60" spans="1:6">
      <c r="A60" s="64" t="s">
        <v>55</v>
      </c>
      <c r="B60" s="15">
        <f>SUM(B53:B58)</f>
        <v>9028</v>
      </c>
      <c r="C60" s="15">
        <f t="shared" ref="C60:F60" si="5">SUM(C53:C58)</f>
        <v>9510</v>
      </c>
      <c r="D60" s="15">
        <f t="shared" si="5"/>
        <v>9094</v>
      </c>
      <c r="E60" s="15">
        <f t="shared" si="5"/>
        <v>9498</v>
      </c>
      <c r="F60" s="65">
        <f t="shared" si="5"/>
        <v>9584</v>
      </c>
    </row>
    <row r="61" spans="1:6">
      <c r="A61" s="55"/>
      <c r="B61" s="20"/>
      <c r="C61" s="20"/>
      <c r="D61" s="20"/>
      <c r="E61" s="20"/>
      <c r="F61" s="85"/>
    </row>
    <row r="62" spans="1:6">
      <c r="A62" s="55" t="s">
        <v>56</v>
      </c>
      <c r="B62" s="9">
        <v>944</v>
      </c>
      <c r="C62" s="9">
        <v>990</v>
      </c>
      <c r="D62" s="9">
        <v>997</v>
      </c>
      <c r="E62" s="9">
        <v>1087</v>
      </c>
      <c r="F62" s="63">
        <v>1118</v>
      </c>
    </row>
    <row r="63" spans="1:6">
      <c r="A63" s="55" t="s">
        <v>57</v>
      </c>
      <c r="B63" s="9">
        <v>323</v>
      </c>
      <c r="C63" s="9">
        <v>236</v>
      </c>
      <c r="D63" s="9">
        <v>235</v>
      </c>
      <c r="E63" s="9">
        <v>221</v>
      </c>
      <c r="F63" s="63">
        <v>251</v>
      </c>
    </row>
    <row r="64" spans="1:6">
      <c r="A64" s="55" t="s">
        <v>58</v>
      </c>
      <c r="B64" s="9">
        <v>1709</v>
      </c>
      <c r="C64" s="9">
        <v>1858</v>
      </c>
      <c r="D64" s="9">
        <v>1899</v>
      </c>
      <c r="E64" s="9">
        <v>2054</v>
      </c>
      <c r="F64" s="63">
        <v>1911</v>
      </c>
    </row>
    <row r="65" spans="1:6">
      <c r="A65" s="55" t="s">
        <v>59</v>
      </c>
      <c r="B65" s="9">
        <v>9</v>
      </c>
      <c r="C65" s="9">
        <v>716</v>
      </c>
      <c r="D65" s="9">
        <v>596</v>
      </c>
      <c r="E65" s="9">
        <v>359</v>
      </c>
      <c r="F65" s="63">
        <v>721</v>
      </c>
    </row>
    <row r="66" spans="1:6">
      <c r="A66" s="55" t="s">
        <v>60</v>
      </c>
      <c r="B66" s="9">
        <v>2791</v>
      </c>
      <c r="C66" s="9">
        <v>2586</v>
      </c>
      <c r="D66" s="9">
        <v>2877</v>
      </c>
      <c r="E66" s="9">
        <v>3484</v>
      </c>
      <c r="F66" s="63">
        <v>4033</v>
      </c>
    </row>
    <row r="67" spans="1:6">
      <c r="A67" s="55" t="s">
        <v>61</v>
      </c>
      <c r="B67" s="9">
        <v>835</v>
      </c>
      <c r="C67" s="9">
        <v>814</v>
      </c>
      <c r="D67" s="9">
        <v>741</v>
      </c>
      <c r="E67" s="9">
        <v>748</v>
      </c>
      <c r="F67" s="63">
        <v>752</v>
      </c>
    </row>
    <row r="68" spans="1:6">
      <c r="A68" s="55"/>
      <c r="B68" s="20"/>
      <c r="C68" s="20"/>
      <c r="D68" s="20"/>
      <c r="E68" s="20"/>
      <c r="F68" s="85"/>
    </row>
    <row r="69" spans="1:6">
      <c r="A69" s="64" t="s">
        <v>62</v>
      </c>
      <c r="B69" s="15">
        <f>SUM(B62:B67)</f>
        <v>6611</v>
      </c>
      <c r="C69" s="15">
        <f t="shared" ref="C69:F69" si="6">SUM(C62:C67)</f>
        <v>7200</v>
      </c>
      <c r="D69" s="15">
        <f t="shared" si="6"/>
        <v>7345</v>
      </c>
      <c r="E69" s="15">
        <f t="shared" si="6"/>
        <v>7953</v>
      </c>
      <c r="F69" s="65">
        <f t="shared" si="6"/>
        <v>8786</v>
      </c>
    </row>
    <row r="70" spans="1:6">
      <c r="A70" s="55"/>
      <c r="B70" s="20"/>
      <c r="C70" s="20"/>
      <c r="D70" s="20"/>
      <c r="E70" s="20"/>
      <c r="F70" s="85"/>
    </row>
    <row r="71" spans="1:6">
      <c r="A71" s="55" t="s">
        <v>63</v>
      </c>
      <c r="B71" s="9">
        <v>32</v>
      </c>
      <c r="C71" s="9">
        <v>31</v>
      </c>
      <c r="D71" s="9">
        <v>30</v>
      </c>
      <c r="E71" s="9">
        <v>29</v>
      </c>
      <c r="F71" s="63">
        <v>28</v>
      </c>
    </row>
    <row r="72" spans="1:6">
      <c r="A72" s="55" t="s">
        <v>64</v>
      </c>
      <c r="B72" s="9">
        <v>2330</v>
      </c>
      <c r="C72" s="9">
        <v>2461</v>
      </c>
      <c r="D72" s="9">
        <v>2038</v>
      </c>
      <c r="E72" s="9">
        <v>1359</v>
      </c>
      <c r="F72" s="63">
        <v>1171</v>
      </c>
    </row>
    <row r="73" spans="1:6">
      <c r="A73" s="55" t="s">
        <v>65</v>
      </c>
      <c r="B73" s="9">
        <v>55</v>
      </c>
      <c r="C73" s="9">
        <v>-182</v>
      </c>
      <c r="D73" s="9">
        <v>-319</v>
      </c>
      <c r="E73" s="9">
        <v>157</v>
      </c>
      <c r="F73" s="63">
        <v>-401</v>
      </c>
    </row>
    <row r="74" spans="1:6" ht="16" thickBot="1">
      <c r="A74" s="66" t="s">
        <v>66</v>
      </c>
      <c r="B74" s="67">
        <f>SUM(B71:B73)</f>
        <v>2417</v>
      </c>
      <c r="C74" s="67">
        <f t="shared" ref="C74:F74" si="7">SUM(C71:C73)</f>
        <v>2310</v>
      </c>
      <c r="D74" s="67">
        <f t="shared" si="7"/>
        <v>1749</v>
      </c>
      <c r="E74" s="67">
        <f t="shared" si="7"/>
        <v>1545</v>
      </c>
      <c r="F74" s="68">
        <f t="shared" si="7"/>
        <v>798</v>
      </c>
    </row>
    <row r="75" spans="1:6" ht="16" thickBot="1">
      <c r="A75" s="3"/>
      <c r="B75" s="19"/>
      <c r="C75" s="19"/>
      <c r="D75" s="19"/>
      <c r="E75" s="19"/>
      <c r="F75" s="19"/>
    </row>
    <row r="76" spans="1:6" ht="16" thickBot="1">
      <c r="A76" s="80" t="s">
        <v>67</v>
      </c>
      <c r="B76" s="81">
        <f>B60-B69-B74</f>
        <v>0</v>
      </c>
      <c r="C76" s="81">
        <f t="shared" ref="C76:F76" si="8">C60-C69-C74</f>
        <v>0</v>
      </c>
      <c r="D76" s="81">
        <f t="shared" si="8"/>
        <v>0</v>
      </c>
      <c r="E76" s="81">
        <f t="shared" si="8"/>
        <v>0</v>
      </c>
      <c r="F76" s="81">
        <f t="shared" si="8"/>
        <v>0</v>
      </c>
    </row>
    <row r="77" spans="1:6">
      <c r="A77" s="10"/>
      <c r="B77" s="11"/>
      <c r="C77" s="11"/>
      <c r="D77" s="11"/>
      <c r="E77" s="11"/>
      <c r="F77" s="11"/>
    </row>
    <row r="78" spans="1:6" ht="16" thickBot="1">
      <c r="A78" s="3"/>
      <c r="B78" s="3"/>
      <c r="C78" s="3"/>
      <c r="D78" s="3"/>
      <c r="E78" s="3"/>
      <c r="F78" s="3"/>
    </row>
    <row r="79" spans="1:6">
      <c r="A79" s="52" t="s">
        <v>68</v>
      </c>
      <c r="B79" s="53"/>
      <c r="C79" s="53"/>
      <c r="D79" s="53"/>
      <c r="E79" s="53"/>
      <c r="F79" s="54"/>
    </row>
    <row r="80" spans="1:6">
      <c r="A80" s="55" t="s">
        <v>69</v>
      </c>
      <c r="B80" s="9">
        <v>240</v>
      </c>
      <c r="C80" s="9">
        <v>295</v>
      </c>
      <c r="D80" s="9">
        <v>324</v>
      </c>
      <c r="E80" s="9">
        <v>314</v>
      </c>
      <c r="F80" s="63">
        <v>305</v>
      </c>
    </row>
    <row r="81" spans="1:6">
      <c r="A81" s="55" t="s">
        <v>70</v>
      </c>
      <c r="B81" s="9">
        <v>-56</v>
      </c>
      <c r="C81" s="9">
        <v>-64</v>
      </c>
      <c r="D81" s="9">
        <v>-68</v>
      </c>
      <c r="E81" s="9">
        <v>-70</v>
      </c>
      <c r="F81" s="63">
        <v>-66</v>
      </c>
    </row>
    <row r="82" spans="1:6">
      <c r="A82" s="55" t="s">
        <v>71</v>
      </c>
      <c r="B82" s="9">
        <v>-373</v>
      </c>
      <c r="C82" s="9">
        <v>-424</v>
      </c>
      <c r="D82" s="9">
        <v>-467</v>
      </c>
      <c r="E82" s="9">
        <v>-521</v>
      </c>
      <c r="F82" s="63">
        <v>-563</v>
      </c>
    </row>
    <row r="83" spans="1:6">
      <c r="A83" s="55" t="s">
        <v>72</v>
      </c>
      <c r="B83" s="9">
        <v>-410</v>
      </c>
      <c r="C83" s="9">
        <v>-1000</v>
      </c>
      <c r="D83" s="9">
        <v>-1000</v>
      </c>
      <c r="E83" s="9">
        <v>-1000</v>
      </c>
      <c r="F83" s="63">
        <v>-1096</v>
      </c>
    </row>
    <row r="84" spans="1:6">
      <c r="A84" s="55" t="s">
        <v>73</v>
      </c>
      <c r="B84" s="18">
        <v>2.6200000000000001E-2</v>
      </c>
      <c r="C84" s="18">
        <v>2.1299999999999999E-2</v>
      </c>
      <c r="D84" s="18">
        <v>2.1899999999999999E-2</v>
      </c>
      <c r="E84" s="18">
        <v>2.7900000000000001E-2</v>
      </c>
      <c r="F84" s="88">
        <v>2.3099999999999999E-2</v>
      </c>
    </row>
    <row r="85" spans="1:6">
      <c r="A85" s="55" t="s">
        <v>74</v>
      </c>
      <c r="B85" s="18">
        <v>4.0000000000000001E-3</v>
      </c>
      <c r="C85" s="18">
        <v>1.5599999999999999E-2</v>
      </c>
      <c r="D85" s="18">
        <v>4.8500000000000001E-2</v>
      </c>
      <c r="E85" s="18">
        <v>5.45E-2</v>
      </c>
      <c r="F85" s="88">
        <v>3.1099999999999999E-2</v>
      </c>
    </row>
    <row r="86" spans="1:6">
      <c r="A86" s="55" t="s">
        <v>75</v>
      </c>
      <c r="B86" s="9">
        <v>82</v>
      </c>
      <c r="C86" s="9">
        <v>77</v>
      </c>
      <c r="D86" s="9">
        <v>82</v>
      </c>
      <c r="E86" s="9">
        <v>114</v>
      </c>
      <c r="F86" s="63">
        <v>115</v>
      </c>
    </row>
    <row r="87" spans="1:6">
      <c r="A87" s="55" t="s">
        <v>76</v>
      </c>
      <c r="B87" s="9">
        <v>3131</v>
      </c>
      <c r="C87" s="9">
        <v>3615</v>
      </c>
      <c r="D87" s="9">
        <v>3745</v>
      </c>
      <c r="E87" s="9">
        <v>4085</v>
      </c>
      <c r="F87" s="63">
        <v>4971</v>
      </c>
    </row>
    <row r="88" spans="1:6">
      <c r="A88" s="55" t="s">
        <v>77</v>
      </c>
      <c r="B88" s="9">
        <v>4</v>
      </c>
      <c r="C88" s="9">
        <v>21</v>
      </c>
      <c r="D88" s="9">
        <v>55</v>
      </c>
      <c r="E88" s="9">
        <v>52</v>
      </c>
      <c r="F88" s="63">
        <v>29</v>
      </c>
    </row>
    <row r="89" spans="1:6">
      <c r="A89" s="55" t="s">
        <v>78</v>
      </c>
      <c r="B89" s="9">
        <v>1001</v>
      </c>
      <c r="C89" s="9">
        <v>1346</v>
      </c>
      <c r="D89" s="9">
        <v>1135</v>
      </c>
      <c r="E89" s="9">
        <v>954</v>
      </c>
      <c r="F89" s="63">
        <v>932</v>
      </c>
    </row>
    <row r="90" spans="1:6">
      <c r="A90" s="55" t="s">
        <v>79</v>
      </c>
      <c r="B90" s="9">
        <v>1010</v>
      </c>
      <c r="C90" s="9">
        <v>1220</v>
      </c>
      <c r="D90" s="9">
        <v>1164</v>
      </c>
      <c r="E90" s="9">
        <v>1276</v>
      </c>
      <c r="F90" s="63">
        <v>1348</v>
      </c>
    </row>
    <row r="91" spans="1:6">
      <c r="A91" s="55" t="s">
        <v>80</v>
      </c>
      <c r="B91" s="18">
        <v>0.13700000000000001</v>
      </c>
      <c r="C91" s="18">
        <v>0.155</v>
      </c>
      <c r="D91" s="18">
        <v>0.16800000000000001</v>
      </c>
      <c r="E91" s="18">
        <v>0.18099999999999999</v>
      </c>
      <c r="F91" s="88">
        <v>0.18</v>
      </c>
    </row>
    <row r="92" spans="1:6">
      <c r="A92" s="55" t="s">
        <v>81</v>
      </c>
      <c r="B92" s="9">
        <v>477</v>
      </c>
      <c r="C92" s="9">
        <v>600</v>
      </c>
      <c r="D92" s="9">
        <v>615</v>
      </c>
      <c r="E92" s="9">
        <v>660</v>
      </c>
      <c r="F92" s="63">
        <v>650</v>
      </c>
    </row>
    <row r="93" spans="1:6" ht="16" thickBot="1">
      <c r="A93" s="57" t="s">
        <v>82</v>
      </c>
      <c r="B93" s="89">
        <v>2131</v>
      </c>
      <c r="C93" s="89">
        <v>2253</v>
      </c>
      <c r="D93" s="89">
        <v>2612</v>
      </c>
      <c r="E93" s="89">
        <v>3134</v>
      </c>
      <c r="F93" s="90">
        <v>4024</v>
      </c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abSelected="1" workbookViewId="0">
      <selection activeCell="H8" sqref="H8"/>
    </sheetView>
  </sheetViews>
  <sheetFormatPr baseColWidth="10" defaultColWidth="8.83203125" defaultRowHeight="15"/>
  <cols>
    <col min="1" max="1" width="43" customWidth="1"/>
    <col min="2" max="9" width="12" customWidth="1"/>
    <col min="10" max="10" width="4.6640625" style="104" customWidth="1"/>
    <col min="11" max="11" width="12" style="116" customWidth="1"/>
    <col min="12" max="12" width="3.83203125" style="116" customWidth="1"/>
    <col min="13" max="13" width="8.83203125" style="1"/>
    <col min="14" max="14" width="46" customWidth="1"/>
  </cols>
  <sheetData>
    <row r="1" spans="1:14">
      <c r="A1" s="69"/>
      <c r="B1" s="72"/>
      <c r="C1" s="72"/>
      <c r="D1" s="72"/>
      <c r="E1" s="72"/>
      <c r="F1" s="72"/>
      <c r="G1" s="72"/>
      <c r="H1" s="72"/>
      <c r="I1" s="72"/>
      <c r="J1" s="123"/>
      <c r="K1" s="124"/>
      <c r="L1" s="124"/>
      <c r="M1" s="72"/>
      <c r="N1" s="91"/>
    </row>
    <row r="2" spans="1:14" ht="18">
      <c r="A2" s="74" t="s">
        <v>0</v>
      </c>
      <c r="B2" s="4"/>
      <c r="C2" s="4"/>
      <c r="D2" s="4"/>
      <c r="E2" s="4"/>
      <c r="F2" s="4"/>
      <c r="G2" s="4"/>
      <c r="H2" s="4"/>
      <c r="I2" s="4"/>
      <c r="J2" s="95"/>
      <c r="K2" s="105"/>
      <c r="L2" s="105"/>
      <c r="M2" s="4"/>
      <c r="N2" s="92"/>
    </row>
    <row r="3" spans="1:14" ht="16" thickBot="1">
      <c r="A3" s="57" t="s">
        <v>1</v>
      </c>
      <c r="B3" s="75"/>
      <c r="C3" s="75"/>
      <c r="D3" s="75"/>
      <c r="E3" s="75"/>
      <c r="F3" s="75"/>
      <c r="G3" s="75"/>
      <c r="H3" s="75"/>
      <c r="I3" s="75"/>
      <c r="J3" s="125"/>
      <c r="K3" s="126"/>
      <c r="L3" s="126"/>
      <c r="M3" s="75"/>
      <c r="N3" s="93"/>
    </row>
    <row r="4" spans="1:14">
      <c r="A4" s="55"/>
      <c r="B4" s="4"/>
      <c r="C4" s="62"/>
      <c r="D4" s="4"/>
      <c r="E4" s="4"/>
      <c r="F4" s="4"/>
      <c r="G4" s="4"/>
      <c r="H4" s="4"/>
      <c r="I4" s="4"/>
      <c r="J4" s="95"/>
      <c r="K4" s="105"/>
      <c r="L4" s="105"/>
      <c r="M4" s="4"/>
      <c r="N4" s="22"/>
    </row>
    <row r="5" spans="1:14">
      <c r="A5" s="55" t="s">
        <v>2</v>
      </c>
      <c r="B5" s="7" t="s">
        <v>3</v>
      </c>
      <c r="C5" s="62"/>
      <c r="D5" s="3"/>
      <c r="E5" s="3"/>
      <c r="F5" s="3"/>
      <c r="G5" s="3"/>
      <c r="H5" s="3"/>
      <c r="I5" s="3"/>
      <c r="J5" s="95"/>
      <c r="K5" s="105"/>
      <c r="L5" s="105"/>
      <c r="M5" s="4"/>
      <c r="N5" s="21"/>
    </row>
    <row r="6" spans="1:14">
      <c r="A6" s="55" t="s">
        <v>4</v>
      </c>
      <c r="B6" s="7" t="s">
        <v>5</v>
      </c>
      <c r="C6" s="62"/>
      <c r="D6" s="3"/>
      <c r="E6" s="3"/>
      <c r="F6" s="3"/>
      <c r="G6" s="3"/>
      <c r="H6" s="3"/>
      <c r="I6" s="3"/>
      <c r="J6" s="95"/>
      <c r="K6" s="105"/>
      <c r="L6" s="105"/>
      <c r="M6" s="4"/>
      <c r="N6" s="21"/>
    </row>
    <row r="7" spans="1:14">
      <c r="A7" s="55" t="s">
        <v>90</v>
      </c>
      <c r="B7" s="7">
        <v>1</v>
      </c>
      <c r="C7" s="62"/>
      <c r="D7" s="3"/>
      <c r="E7" s="3"/>
      <c r="F7" s="3"/>
      <c r="G7" s="3"/>
      <c r="H7" s="3"/>
      <c r="I7" s="3"/>
      <c r="J7" s="95"/>
      <c r="K7" s="105"/>
      <c r="L7" s="105"/>
      <c r="M7" s="4"/>
      <c r="N7" s="21"/>
    </row>
    <row r="8" spans="1:14">
      <c r="A8" s="55" t="s">
        <v>91</v>
      </c>
      <c r="B8" s="7"/>
      <c r="C8" s="62"/>
      <c r="D8" s="3"/>
      <c r="E8" s="3"/>
      <c r="F8" s="3"/>
      <c r="G8" s="3"/>
      <c r="H8" s="3"/>
      <c r="I8" s="3"/>
      <c r="J8" s="95"/>
      <c r="K8" s="105"/>
      <c r="L8" s="105"/>
      <c r="M8" s="4"/>
      <c r="N8" s="21"/>
    </row>
    <row r="9" spans="1:14">
      <c r="A9" s="55" t="s">
        <v>92</v>
      </c>
      <c r="B9" s="7"/>
      <c r="C9" s="62"/>
      <c r="D9" s="3"/>
      <c r="E9" s="3"/>
      <c r="F9" s="3"/>
      <c r="G9" s="3"/>
      <c r="H9" s="3"/>
      <c r="I9" s="3"/>
      <c r="J9" s="95"/>
      <c r="K9" s="105"/>
      <c r="L9" s="105"/>
      <c r="M9" s="4"/>
      <c r="N9" s="21"/>
    </row>
    <row r="10" spans="1:14">
      <c r="A10" s="55" t="s">
        <v>93</v>
      </c>
      <c r="B10" s="77" t="s">
        <v>94</v>
      </c>
      <c r="C10" s="62"/>
      <c r="D10" s="3"/>
      <c r="E10" s="3"/>
      <c r="F10" s="3"/>
      <c r="G10" s="3"/>
      <c r="H10" s="3"/>
      <c r="I10" s="3"/>
      <c r="J10" s="95"/>
      <c r="K10" s="105"/>
      <c r="L10" s="105"/>
      <c r="M10" s="4"/>
      <c r="N10" s="21"/>
    </row>
    <row r="11" spans="1:14">
      <c r="A11" s="55" t="s">
        <v>95</v>
      </c>
      <c r="B11" s="7">
        <v>231.8</v>
      </c>
      <c r="C11" s="62"/>
      <c r="D11" s="3"/>
      <c r="E11" s="3"/>
      <c r="F11" s="3"/>
      <c r="G11" s="3"/>
      <c r="H11" s="3"/>
      <c r="I11" s="3"/>
      <c r="J11" s="95"/>
      <c r="K11" s="105"/>
      <c r="L11" s="105"/>
      <c r="M11" s="4"/>
      <c r="N11" s="21"/>
    </row>
    <row r="12" spans="1:14" ht="16" thickBot="1">
      <c r="A12" s="57" t="s">
        <v>96</v>
      </c>
      <c r="B12" s="94" t="s">
        <v>97</v>
      </c>
      <c r="C12" s="76"/>
      <c r="D12" s="3"/>
      <c r="E12" s="3"/>
      <c r="F12" s="3"/>
      <c r="G12" s="3"/>
      <c r="H12" s="3"/>
      <c r="I12" s="3"/>
      <c r="J12" s="95"/>
      <c r="K12" s="105"/>
      <c r="L12" s="105"/>
      <c r="M12" s="4"/>
      <c r="N12" s="21"/>
    </row>
    <row r="13" spans="1:14" ht="32" customHeight="1" thickBot="1">
      <c r="A13" s="3"/>
      <c r="B13" s="3"/>
      <c r="C13" s="3"/>
      <c r="D13" s="3"/>
      <c r="E13" s="3"/>
      <c r="F13" s="3"/>
      <c r="G13" s="3"/>
      <c r="H13" s="3"/>
      <c r="I13" s="3"/>
      <c r="J13" s="95"/>
      <c r="K13" s="105"/>
      <c r="L13" s="105"/>
      <c r="M13" s="4"/>
      <c r="N13" s="21"/>
    </row>
    <row r="14" spans="1:14" ht="28" customHeight="1" thickBot="1">
      <c r="A14" s="136" t="s">
        <v>15</v>
      </c>
      <c r="B14" s="53"/>
      <c r="C14" s="53"/>
      <c r="D14" s="53"/>
      <c r="E14" s="53"/>
      <c r="F14" s="53"/>
      <c r="G14" s="53"/>
      <c r="H14" s="53"/>
      <c r="I14" s="54"/>
      <c r="J14" s="96"/>
      <c r="K14" s="117" t="s">
        <v>551</v>
      </c>
      <c r="L14" s="106"/>
      <c r="M14" s="127" t="s">
        <v>104</v>
      </c>
      <c r="N14" s="128"/>
    </row>
    <row r="15" spans="1:14">
      <c r="A15" s="55"/>
      <c r="B15" s="83" t="s">
        <v>9</v>
      </c>
      <c r="C15" s="83" t="s">
        <v>11</v>
      </c>
      <c r="D15" s="83" t="s">
        <v>98</v>
      </c>
      <c r="E15" s="83" t="s">
        <v>99</v>
      </c>
      <c r="F15" s="83" t="s">
        <v>100</v>
      </c>
      <c r="G15" s="83" t="s">
        <v>101</v>
      </c>
      <c r="H15" s="83" t="s">
        <v>102</v>
      </c>
      <c r="I15" s="84" t="s">
        <v>103</v>
      </c>
      <c r="J15" s="97"/>
      <c r="K15" s="119" t="s">
        <v>552</v>
      </c>
      <c r="L15" s="107"/>
      <c r="M15" s="129"/>
      <c r="N15" s="130"/>
    </row>
    <row r="16" spans="1:14" ht="16" thickBot="1">
      <c r="A16" s="57"/>
      <c r="B16" s="75"/>
      <c r="C16" s="75"/>
      <c r="D16" s="75"/>
      <c r="E16" s="75"/>
      <c r="F16" s="75"/>
      <c r="G16" s="75"/>
      <c r="H16" s="75"/>
      <c r="I16" s="76"/>
      <c r="J16" s="95"/>
      <c r="K16" s="118"/>
      <c r="L16" s="105"/>
      <c r="M16" s="134"/>
      <c r="N16" s="135"/>
    </row>
    <row r="17" spans="1:14">
      <c r="A17" s="55" t="s">
        <v>19</v>
      </c>
      <c r="B17" s="24">
        <f>'Historical Data'!E16</f>
        <v>5916</v>
      </c>
      <c r="C17" s="24">
        <f>'Historical Data'!F16</f>
        <v>6125</v>
      </c>
      <c r="D17" s="20">
        <f t="shared" ref="D17:I17" si="0">C17*(1+D38)</f>
        <v>6431.25</v>
      </c>
      <c r="E17" s="20">
        <f t="shared" si="0"/>
        <v>6813.9093749999993</v>
      </c>
      <c r="F17" s="20">
        <f t="shared" si="0"/>
        <v>7203.6649912499988</v>
      </c>
      <c r="G17" s="20">
        <f t="shared" si="0"/>
        <v>7591.2221677792495</v>
      </c>
      <c r="H17" s="20">
        <f t="shared" si="0"/>
        <v>7969.265031734657</v>
      </c>
      <c r="I17" s="85">
        <f t="shared" si="0"/>
        <v>8333.4604436849313</v>
      </c>
      <c r="J17" s="98"/>
      <c r="K17" s="169">
        <f>(I17/C17)^(1/5)-1</f>
        <v>6.3515581368493779E-2</v>
      </c>
      <c r="L17" s="108"/>
      <c r="M17" s="170" t="s">
        <v>563</v>
      </c>
      <c r="N17" s="161"/>
    </row>
    <row r="18" spans="1:14">
      <c r="A18" s="55" t="s">
        <v>20</v>
      </c>
      <c r="B18" s="24">
        <f>'Historical Data'!E17</f>
        <v>-1626</v>
      </c>
      <c r="C18" s="24">
        <f>'Historical Data'!F17</f>
        <v>-1625</v>
      </c>
      <c r="D18" s="20">
        <f t="shared" ref="D18:I18" si="1">-D17*(1-D39)</f>
        <v>-1672.125</v>
      </c>
      <c r="E18" s="20">
        <f t="shared" si="1"/>
        <v>-1757.9886187499999</v>
      </c>
      <c r="F18" s="20">
        <f t="shared" si="1"/>
        <v>-1851.3419027512498</v>
      </c>
      <c r="G18" s="20">
        <f t="shared" si="1"/>
        <v>-1943.3528749514878</v>
      </c>
      <c r="H18" s="20">
        <f t="shared" si="1"/>
        <v>-2032.1625830923376</v>
      </c>
      <c r="I18" s="85">
        <f t="shared" si="1"/>
        <v>-2116.6989526959724</v>
      </c>
      <c r="J18" s="98"/>
      <c r="K18" s="120"/>
      <c r="L18" s="108"/>
      <c r="M18" s="171" t="s">
        <v>564</v>
      </c>
      <c r="N18" s="132"/>
    </row>
    <row r="19" spans="1:14">
      <c r="A19" s="64" t="s">
        <v>21</v>
      </c>
      <c r="B19" s="15">
        <f>'Historical Data'!E18</f>
        <v>4290</v>
      </c>
      <c r="C19" s="15">
        <f>'Historical Data'!F18</f>
        <v>4500</v>
      </c>
      <c r="D19" s="15">
        <f t="shared" ref="D19:I19" si="2">SUM(D17:D18)</f>
        <v>4759.125</v>
      </c>
      <c r="E19" s="15">
        <f t="shared" si="2"/>
        <v>5055.9207562499996</v>
      </c>
      <c r="F19" s="15">
        <f t="shared" si="2"/>
        <v>5352.3230884987488</v>
      </c>
      <c r="G19" s="15">
        <f t="shared" si="2"/>
        <v>5647.8692928277615</v>
      </c>
      <c r="H19" s="15">
        <f t="shared" si="2"/>
        <v>5937.1024486423194</v>
      </c>
      <c r="I19" s="65">
        <f t="shared" si="2"/>
        <v>6216.7614909889589</v>
      </c>
      <c r="J19" s="99"/>
      <c r="K19" s="121"/>
      <c r="L19" s="109"/>
      <c r="M19" s="171" t="s">
        <v>565</v>
      </c>
      <c r="N19" s="132"/>
    </row>
    <row r="20" spans="1:14">
      <c r="A20" s="55" t="s">
        <v>22</v>
      </c>
      <c r="B20" s="24">
        <f>'Historical Data'!E19</f>
        <v>-688</v>
      </c>
      <c r="C20" s="24">
        <f>'Historical Data'!F19</f>
        <v>-724</v>
      </c>
      <c r="D20" s="20">
        <f t="shared" ref="D20:I20" si="3">-D17*D40</f>
        <v>-771.75</v>
      </c>
      <c r="E20" s="20">
        <f t="shared" si="3"/>
        <v>-824.48303437499987</v>
      </c>
      <c r="F20" s="20">
        <f t="shared" si="3"/>
        <v>-878.8471289324998</v>
      </c>
      <c r="G20" s="20">
        <f t="shared" si="3"/>
        <v>-926.12910446906847</v>
      </c>
      <c r="H20" s="20">
        <f t="shared" si="3"/>
        <v>-972.25033387162819</v>
      </c>
      <c r="I20" s="85">
        <f t="shared" si="3"/>
        <v>-1016.6821741295616</v>
      </c>
      <c r="J20" s="98"/>
      <c r="K20" s="120"/>
      <c r="L20" s="108"/>
      <c r="M20" s="171" t="s">
        <v>566</v>
      </c>
      <c r="N20" s="132"/>
    </row>
    <row r="21" spans="1:14">
      <c r="A21" s="55" t="s">
        <v>23</v>
      </c>
      <c r="B21" s="24">
        <f>'Historical Data'!E20</f>
        <v>-969</v>
      </c>
      <c r="C21" s="24">
        <f>'Historical Data'!F20</f>
        <v>-975</v>
      </c>
      <c r="D21" s="20">
        <f t="shared" ref="D21:I21" si="4">-D17*D41</f>
        <v>-1016.1375</v>
      </c>
      <c r="E21" s="20">
        <f t="shared" si="4"/>
        <v>-1069.783771875</v>
      </c>
      <c r="F21" s="20">
        <f t="shared" si="4"/>
        <v>-1123.7717386349998</v>
      </c>
      <c r="G21" s="20">
        <f t="shared" si="4"/>
        <v>-1176.6394360057836</v>
      </c>
      <c r="H21" s="20">
        <f t="shared" si="4"/>
        <v>-1227.2668148871371</v>
      </c>
      <c r="I21" s="85">
        <f t="shared" si="4"/>
        <v>-1275.0194478837946</v>
      </c>
      <c r="J21" s="98"/>
      <c r="K21" s="120"/>
      <c r="L21" s="108"/>
      <c r="M21" s="171" t="s">
        <v>567</v>
      </c>
      <c r="N21" s="132"/>
    </row>
    <row r="22" spans="1:14">
      <c r="A22" s="55" t="s">
        <v>24</v>
      </c>
      <c r="B22" s="24">
        <f>'Historical Data'!E21</f>
        <v>-1033</v>
      </c>
      <c r="C22" s="24">
        <f>'Historical Data'!F21</f>
        <v>-1114</v>
      </c>
      <c r="D22" s="20">
        <f>-D17*0.182</f>
        <v>-1170.4875</v>
      </c>
      <c r="E22" s="20">
        <f>-E17*0.18</f>
        <v>-1226.5036874999998</v>
      </c>
      <c r="F22" s="20">
        <f>-F17*0.177</f>
        <v>-1275.0487034512498</v>
      </c>
      <c r="G22" s="20">
        <f>-G17*0.175</f>
        <v>-1328.4638793613685</v>
      </c>
      <c r="H22" s="20">
        <f>-H17*0.174</f>
        <v>-1386.6521155218302</v>
      </c>
      <c r="I22" s="85">
        <f>-I17*0.174</f>
        <v>-1450.0221172011779</v>
      </c>
      <c r="J22" s="98"/>
      <c r="K22" s="120"/>
      <c r="L22" s="108"/>
      <c r="M22" s="171" t="s">
        <v>568</v>
      </c>
      <c r="N22" s="132"/>
    </row>
    <row r="23" spans="1:14">
      <c r="A23" s="55" t="s">
        <v>25</v>
      </c>
      <c r="B23" s="24">
        <f>'Historical Data'!E22</f>
        <v>-149</v>
      </c>
      <c r="C23" s="24">
        <f>'Historical Data'!F22</f>
        <v>-157</v>
      </c>
      <c r="D23" s="20">
        <f>-D17*0.025</f>
        <v>-160.78125</v>
      </c>
      <c r="E23" s="20">
        <f>-E17*0.024</f>
        <v>-163.53382499999998</v>
      </c>
      <c r="F23" s="20">
        <f>-F17*0.023</f>
        <v>-165.68429479874996</v>
      </c>
      <c r="G23" s="20">
        <f>-G17*0.022</f>
        <v>-167.00688769114348</v>
      </c>
      <c r="H23" s="20">
        <f>-H17*0.021</f>
        <v>-167.35456566642782</v>
      </c>
      <c r="I23" s="85">
        <f>-I17*0.02</f>
        <v>-166.66920887369864</v>
      </c>
      <c r="J23" s="98"/>
      <c r="K23" s="120"/>
      <c r="L23" s="108"/>
      <c r="M23" s="171" t="s">
        <v>569</v>
      </c>
      <c r="N23" s="132"/>
    </row>
    <row r="24" spans="1:14">
      <c r="A24" s="64" t="s">
        <v>27</v>
      </c>
      <c r="B24" s="15">
        <f>'Historical Data'!E24</f>
        <v>1441</v>
      </c>
      <c r="C24" s="15">
        <f>'Historical Data'!F24</f>
        <v>1735</v>
      </c>
      <c r="D24" s="15">
        <f t="shared" ref="D24:I24" si="5">SUM(D19:D23)</f>
        <v>1639.9687500000002</v>
      </c>
      <c r="E24" s="15">
        <f t="shared" si="5"/>
        <v>1771.6164375000001</v>
      </c>
      <c r="F24" s="15">
        <f t="shared" si="5"/>
        <v>1908.9712226812496</v>
      </c>
      <c r="G24" s="15">
        <f t="shared" si="5"/>
        <v>2049.6299853003966</v>
      </c>
      <c r="H24" s="15">
        <f t="shared" si="5"/>
        <v>2183.5786186952964</v>
      </c>
      <c r="I24" s="65">
        <f t="shared" si="5"/>
        <v>2308.368542900726</v>
      </c>
      <c r="J24" s="99"/>
      <c r="K24" s="169">
        <f>(I24/C24)^(1/5)-1</f>
        <v>5.876879683568248E-2</v>
      </c>
      <c r="L24" s="109"/>
      <c r="M24" s="171" t="s">
        <v>570</v>
      </c>
      <c r="N24" s="132"/>
    </row>
    <row r="25" spans="1:14">
      <c r="A25" s="55" t="s">
        <v>105</v>
      </c>
      <c r="B25" s="24">
        <f>'Historical Data'!E25</f>
        <v>52</v>
      </c>
      <c r="C25" s="24">
        <f>'Historical Data'!F25</f>
        <v>29</v>
      </c>
      <c r="D25" s="20">
        <f t="shared" ref="D25:I25" si="6">D170</f>
        <v>27.959999999999997</v>
      </c>
      <c r="E25" s="20">
        <f t="shared" si="6"/>
        <v>40.060284486604431</v>
      </c>
      <c r="F25" s="20">
        <f t="shared" si="6"/>
        <v>54.166749337238123</v>
      </c>
      <c r="G25" s="20">
        <f t="shared" si="6"/>
        <v>68.167026149474452</v>
      </c>
      <c r="H25" s="20">
        <f t="shared" si="6"/>
        <v>82.181737448208125</v>
      </c>
      <c r="I25" s="85">
        <f t="shared" si="6"/>
        <v>95.70933353692719</v>
      </c>
      <c r="J25" s="98"/>
      <c r="K25" s="120"/>
      <c r="L25" s="108"/>
      <c r="M25" s="171" t="s">
        <v>571</v>
      </c>
      <c r="N25" s="132"/>
    </row>
    <row r="26" spans="1:14">
      <c r="A26" s="55" t="s">
        <v>106</v>
      </c>
      <c r="B26" s="24">
        <f>'Historical Data'!E26</f>
        <v>-114</v>
      </c>
      <c r="C26" s="24">
        <f>'Historical Data'!F26</f>
        <v>-115</v>
      </c>
      <c r="D26" s="20">
        <f t="shared" ref="D26:I26" si="7">D166+D168</f>
        <v>-142.62</v>
      </c>
      <c r="E26" s="20">
        <f t="shared" si="7"/>
        <v>-142.62</v>
      </c>
      <c r="F26" s="20">
        <f t="shared" si="7"/>
        <v>-142.62</v>
      </c>
      <c r="G26" s="20">
        <f t="shared" si="7"/>
        <v>-147.374</v>
      </c>
      <c r="H26" s="20">
        <f t="shared" si="7"/>
        <v>-147.374</v>
      </c>
      <c r="I26" s="85">
        <f t="shared" si="7"/>
        <v>-147.374</v>
      </c>
      <c r="J26" s="98"/>
      <c r="K26" s="120"/>
      <c r="L26" s="108"/>
      <c r="M26" s="171" t="s">
        <v>572</v>
      </c>
      <c r="N26" s="132"/>
    </row>
    <row r="27" spans="1:14">
      <c r="A27" s="55" t="s">
        <v>107</v>
      </c>
      <c r="B27" s="24">
        <f>'Historical Data'!E27</f>
        <v>-3</v>
      </c>
      <c r="C27" s="24">
        <f>'Historical Data'!F27</f>
        <v>-2</v>
      </c>
      <c r="D27" s="20">
        <v>-2</v>
      </c>
      <c r="E27" s="20">
        <v>-2</v>
      </c>
      <c r="F27" s="20">
        <v>-2</v>
      </c>
      <c r="G27" s="20">
        <v>-2</v>
      </c>
      <c r="H27" s="20">
        <v>-2</v>
      </c>
      <c r="I27" s="85">
        <v>-2</v>
      </c>
      <c r="J27" s="98"/>
      <c r="K27" s="120"/>
      <c r="L27" s="108"/>
      <c r="M27" s="131"/>
      <c r="N27" s="132"/>
    </row>
    <row r="28" spans="1:14">
      <c r="A28" s="64" t="s">
        <v>31</v>
      </c>
      <c r="B28" s="15">
        <f>'Historical Data'!E28</f>
        <v>1376</v>
      </c>
      <c r="C28" s="15">
        <f>'Historical Data'!F28</f>
        <v>1647</v>
      </c>
      <c r="D28" s="15">
        <f t="shared" ref="D28:I28" si="8">SUM(D24:D27)</f>
        <v>1523.3087500000001</v>
      </c>
      <c r="E28" s="15">
        <f t="shared" si="8"/>
        <v>1667.0567219866043</v>
      </c>
      <c r="F28" s="15">
        <f t="shared" si="8"/>
        <v>1818.5179720184879</v>
      </c>
      <c r="G28" s="15">
        <f t="shared" si="8"/>
        <v>1968.4230114498712</v>
      </c>
      <c r="H28" s="15">
        <f t="shared" si="8"/>
        <v>2116.3863561435046</v>
      </c>
      <c r="I28" s="65">
        <f t="shared" si="8"/>
        <v>2254.7038764376534</v>
      </c>
      <c r="J28" s="99"/>
      <c r="K28" s="121"/>
      <c r="L28" s="109"/>
      <c r="M28" s="171" t="s">
        <v>573</v>
      </c>
      <c r="N28" s="132"/>
    </row>
    <row r="29" spans="1:14">
      <c r="A29" s="55" t="s">
        <v>32</v>
      </c>
      <c r="B29" s="24">
        <f>'Historical Data'!E29</f>
        <v>-299</v>
      </c>
      <c r="C29" s="24">
        <f>'Historical Data'!F29</f>
        <v>-341</v>
      </c>
      <c r="D29" s="20">
        <f t="shared" ref="D29:I29" si="9">-D28*D44</f>
        <v>-319.89483749999999</v>
      </c>
      <c r="E29" s="20">
        <f t="shared" si="9"/>
        <v>-350.0819116171869</v>
      </c>
      <c r="F29" s="20">
        <f t="shared" si="9"/>
        <v>-381.88877412388246</v>
      </c>
      <c r="G29" s="20">
        <f t="shared" si="9"/>
        <v>-413.36883240447293</v>
      </c>
      <c r="H29" s="20">
        <f t="shared" si="9"/>
        <v>-444.44113479013595</v>
      </c>
      <c r="I29" s="85">
        <f t="shared" si="9"/>
        <v>-473.48781405190721</v>
      </c>
      <c r="J29" s="98"/>
      <c r="K29" s="120"/>
      <c r="L29" s="108"/>
      <c r="M29" s="171" t="s">
        <v>574</v>
      </c>
      <c r="N29" s="132"/>
    </row>
    <row r="30" spans="1:14">
      <c r="A30" s="64" t="s">
        <v>33</v>
      </c>
      <c r="B30" s="15">
        <f>'Historical Data'!E30</f>
        <v>1077</v>
      </c>
      <c r="C30" s="15">
        <f>'Historical Data'!F30</f>
        <v>1306</v>
      </c>
      <c r="D30" s="15">
        <f t="shared" ref="D30:I30" si="10">SUM(D28:D29)</f>
        <v>1203.4139125000002</v>
      </c>
      <c r="E30" s="15">
        <f t="shared" si="10"/>
        <v>1316.9748103694174</v>
      </c>
      <c r="F30" s="15">
        <f t="shared" si="10"/>
        <v>1436.6291978946053</v>
      </c>
      <c r="G30" s="15">
        <f t="shared" si="10"/>
        <v>1555.0541790453983</v>
      </c>
      <c r="H30" s="15">
        <f t="shared" si="10"/>
        <v>1671.9452213533687</v>
      </c>
      <c r="I30" s="65">
        <f t="shared" si="10"/>
        <v>1781.2160623857462</v>
      </c>
      <c r="J30" s="99"/>
      <c r="K30" s="169">
        <f>(I30/C30)^(1/5)-1</f>
        <v>6.4031990003949657E-2</v>
      </c>
      <c r="L30" s="109"/>
      <c r="M30" s="171" t="s">
        <v>575</v>
      </c>
      <c r="N30" s="132"/>
    </row>
    <row r="31" spans="1:14">
      <c r="A31" s="55"/>
      <c r="B31" s="20"/>
      <c r="C31" s="20"/>
      <c r="D31" s="20"/>
      <c r="E31" s="20"/>
      <c r="F31" s="20"/>
      <c r="G31" s="20"/>
      <c r="H31" s="20"/>
      <c r="I31" s="85"/>
      <c r="J31" s="98"/>
      <c r="K31" s="120"/>
      <c r="L31" s="108"/>
      <c r="M31" s="131"/>
      <c r="N31" s="132"/>
    </row>
    <row r="32" spans="1:14">
      <c r="A32" s="55" t="s">
        <v>34</v>
      </c>
      <c r="B32" s="24">
        <f>'Historical Data'!E32</f>
        <v>479</v>
      </c>
      <c r="C32" s="24">
        <f>'Historical Data'!F32</f>
        <v>477</v>
      </c>
      <c r="D32" s="20">
        <f t="shared" ref="D32:I32" si="11">D135</f>
        <v>334.42500000000001</v>
      </c>
      <c r="E32" s="20">
        <f t="shared" si="11"/>
        <v>354.32328749999994</v>
      </c>
      <c r="F32" s="20">
        <f t="shared" si="11"/>
        <v>367.38691455374993</v>
      </c>
      <c r="G32" s="20">
        <f t="shared" si="11"/>
        <v>387.15233055674167</v>
      </c>
      <c r="H32" s="20">
        <f t="shared" si="11"/>
        <v>398.46325158673289</v>
      </c>
      <c r="I32" s="85">
        <f t="shared" si="11"/>
        <v>416.67302218424658</v>
      </c>
      <c r="J32" s="98"/>
      <c r="K32" s="120"/>
      <c r="L32" s="108"/>
      <c r="M32" s="171" t="s">
        <v>576</v>
      </c>
      <c r="N32" s="132"/>
    </row>
    <row r="33" spans="1:15">
      <c r="A33" s="64" t="s">
        <v>35</v>
      </c>
      <c r="B33" s="15">
        <f>'Historical Data'!E33</f>
        <v>1920</v>
      </c>
      <c r="C33" s="15">
        <f>'Historical Data'!F33</f>
        <v>2212</v>
      </c>
      <c r="D33" s="15">
        <f t="shared" ref="D33:I33" si="12">D24+D32</f>
        <v>1974.3937500000002</v>
      </c>
      <c r="E33" s="15">
        <f t="shared" si="12"/>
        <v>2125.9397250000002</v>
      </c>
      <c r="F33" s="15">
        <f t="shared" si="12"/>
        <v>2276.3581372349995</v>
      </c>
      <c r="G33" s="15">
        <f t="shared" si="12"/>
        <v>2436.7823158571382</v>
      </c>
      <c r="H33" s="15">
        <f t="shared" si="12"/>
        <v>2582.0418702820293</v>
      </c>
      <c r="I33" s="65">
        <f t="shared" si="12"/>
        <v>2725.0415650849727</v>
      </c>
      <c r="J33" s="99"/>
      <c r="K33" s="169">
        <f>(I33/C33)^(1/5)-1</f>
        <v>4.2599714498967156E-2</v>
      </c>
      <c r="L33" s="109"/>
      <c r="M33" s="131"/>
      <c r="N33" s="132"/>
    </row>
    <row r="34" spans="1:15">
      <c r="A34" s="64" t="s">
        <v>36</v>
      </c>
      <c r="B34" s="15">
        <f>'Historical Data'!E34</f>
        <v>1600</v>
      </c>
      <c r="C34" s="15">
        <f>'Historical Data'!F34</f>
        <v>1687</v>
      </c>
      <c r="D34" s="15">
        <f>D17*0.28</f>
        <v>1800.7500000000002</v>
      </c>
      <c r="E34" s="15">
        <f>E17*0.284</f>
        <v>1935.1502624999996</v>
      </c>
      <c r="F34" s="15">
        <f>F17*0.288</f>
        <v>2074.6555174799996</v>
      </c>
      <c r="G34" s="15">
        <f>G17*0.292</f>
        <v>2216.6368729915407</v>
      </c>
      <c r="H34" s="15">
        <f>H17*0.295</f>
        <v>2350.9331843617238</v>
      </c>
      <c r="I34" s="65">
        <f>I17*0.297</f>
        <v>2475.0377517744246</v>
      </c>
      <c r="J34" s="99"/>
      <c r="K34" s="121"/>
      <c r="L34" s="109"/>
      <c r="M34" s="171" t="s">
        <v>577</v>
      </c>
      <c r="N34" s="132"/>
    </row>
    <row r="35" spans="1:15" ht="16" thickBot="1">
      <c r="A35" s="66" t="s">
        <v>37</v>
      </c>
      <c r="B35" s="67">
        <f>'Historical Data'!E35</f>
        <v>1930</v>
      </c>
      <c r="C35" s="67">
        <f>'Historical Data'!F35</f>
        <v>2007</v>
      </c>
      <c r="D35" s="67">
        <f t="shared" ref="D35:I35" si="13">D34+D32</f>
        <v>2135.1750000000002</v>
      </c>
      <c r="E35" s="67">
        <f t="shared" si="13"/>
        <v>2289.4735499999997</v>
      </c>
      <c r="F35" s="67">
        <f t="shared" si="13"/>
        <v>2442.0424320337497</v>
      </c>
      <c r="G35" s="67">
        <f t="shared" si="13"/>
        <v>2603.7892035482823</v>
      </c>
      <c r="H35" s="67">
        <f t="shared" si="13"/>
        <v>2749.3964359484567</v>
      </c>
      <c r="I35" s="68">
        <f t="shared" si="13"/>
        <v>2891.7107739586713</v>
      </c>
      <c r="J35" s="99"/>
      <c r="K35" s="122"/>
      <c r="L35" s="109"/>
      <c r="M35" s="172" t="s">
        <v>578</v>
      </c>
      <c r="N35" s="133"/>
    </row>
    <row r="36" spans="1:15" ht="31" customHeight="1" thickBot="1">
      <c r="A36" s="3"/>
      <c r="B36" s="3"/>
      <c r="C36" s="3"/>
      <c r="D36" s="3"/>
      <c r="E36" s="3"/>
      <c r="F36" s="3"/>
      <c r="G36" s="3"/>
      <c r="H36" s="3"/>
      <c r="I36" s="3"/>
      <c r="J36" s="95"/>
      <c r="K36" s="105"/>
      <c r="L36" s="105"/>
      <c r="M36" s="4"/>
      <c r="N36" s="22"/>
      <c r="O36" s="1"/>
    </row>
    <row r="37" spans="1:15">
      <c r="A37" s="137" t="s">
        <v>38</v>
      </c>
      <c r="B37" s="53"/>
      <c r="C37" s="53"/>
      <c r="D37" s="53"/>
      <c r="E37" s="53"/>
      <c r="F37" s="53"/>
      <c r="G37" s="53"/>
      <c r="H37" s="53"/>
      <c r="I37" s="54"/>
      <c r="J37" s="96"/>
      <c r="K37" s="144" t="s">
        <v>553</v>
      </c>
      <c r="L37" s="106"/>
      <c r="M37" s="173" t="s">
        <v>104</v>
      </c>
      <c r="N37" s="174"/>
    </row>
    <row r="38" spans="1:15">
      <c r="A38" s="55" t="s">
        <v>39</v>
      </c>
      <c r="B38" s="27"/>
      <c r="C38" s="27">
        <f>C17/B17-1</f>
        <v>3.5327924273157452E-2</v>
      </c>
      <c r="D38" s="18">
        <v>0.05</v>
      </c>
      <c r="E38" s="18">
        <v>5.9499999999999997E-2</v>
      </c>
      <c r="F38" s="18">
        <v>5.7200000000000001E-2</v>
      </c>
      <c r="G38" s="18">
        <v>5.3800000000000001E-2</v>
      </c>
      <c r="H38" s="18">
        <v>4.9799999999999997E-2</v>
      </c>
      <c r="I38" s="88">
        <v>4.5699999999999998E-2</v>
      </c>
      <c r="J38" s="100"/>
      <c r="K38" s="141"/>
      <c r="L38" s="110"/>
      <c r="M38" s="170" t="s">
        <v>557</v>
      </c>
      <c r="N38" s="161"/>
    </row>
    <row r="39" spans="1:15">
      <c r="A39" s="55" t="s">
        <v>40</v>
      </c>
      <c r="B39" s="27">
        <f>B19/B17</f>
        <v>0.72515212981744426</v>
      </c>
      <c r="C39" s="27">
        <f>C19/C17</f>
        <v>0.73469387755102045</v>
      </c>
      <c r="D39" s="18">
        <v>0.74</v>
      </c>
      <c r="E39" s="18">
        <v>0.74199999999999999</v>
      </c>
      <c r="F39" s="18">
        <v>0.74299999999999999</v>
      </c>
      <c r="G39" s="18">
        <v>0.74399999999999999</v>
      </c>
      <c r="H39" s="18">
        <v>0.745</v>
      </c>
      <c r="I39" s="88">
        <v>0.746</v>
      </c>
      <c r="J39" s="100"/>
      <c r="K39" s="141"/>
      <c r="L39" s="110"/>
      <c r="M39" s="171" t="s">
        <v>554</v>
      </c>
      <c r="N39" s="132"/>
    </row>
    <row r="40" spans="1:15">
      <c r="A40" s="55" t="s">
        <v>41</v>
      </c>
      <c r="B40" s="27">
        <f>-B20/B17</f>
        <v>0.1162947937795808</v>
      </c>
      <c r="C40" s="27">
        <f>-C20/C17</f>
        <v>0.11820408163265306</v>
      </c>
      <c r="D40" s="18">
        <v>0.12</v>
      </c>
      <c r="E40" s="18">
        <v>0.121</v>
      </c>
      <c r="F40" s="18">
        <v>0.122</v>
      </c>
      <c r="G40" s="18">
        <v>0.122</v>
      </c>
      <c r="H40" s="18">
        <v>0.122</v>
      </c>
      <c r="I40" s="88">
        <v>0.122</v>
      </c>
      <c r="J40" s="100"/>
      <c r="K40" s="141"/>
      <c r="L40" s="110"/>
      <c r="M40" s="171" t="s">
        <v>555</v>
      </c>
      <c r="N40" s="132"/>
    </row>
    <row r="41" spans="1:15">
      <c r="A41" s="55" t="s">
        <v>42</v>
      </c>
      <c r="B41" s="27">
        <f>-B21/B17</f>
        <v>0.16379310344827586</v>
      </c>
      <c r="C41" s="27">
        <f>-C21/C17</f>
        <v>0.15918367346938775</v>
      </c>
      <c r="D41" s="18">
        <v>0.158</v>
      </c>
      <c r="E41" s="18">
        <v>0.157</v>
      </c>
      <c r="F41" s="18">
        <v>0.156</v>
      </c>
      <c r="G41" s="18">
        <v>0.155</v>
      </c>
      <c r="H41" s="18">
        <v>0.154</v>
      </c>
      <c r="I41" s="88">
        <v>0.153</v>
      </c>
      <c r="J41" s="100"/>
      <c r="K41" s="141"/>
      <c r="L41" s="110"/>
      <c r="M41" s="171" t="s">
        <v>556</v>
      </c>
      <c r="N41" s="132"/>
    </row>
    <row r="42" spans="1:15">
      <c r="A42" s="55" t="s">
        <v>43</v>
      </c>
      <c r="B42" s="27">
        <f t="shared" ref="B42:I42" si="14">-SUM(B22:B23)/B17</f>
        <v>0.19979716024340771</v>
      </c>
      <c r="C42" s="27">
        <f t="shared" si="14"/>
        <v>0.20751020408163265</v>
      </c>
      <c r="D42" s="28">
        <f t="shared" si="14"/>
        <v>0.20699999999999999</v>
      </c>
      <c r="E42" s="28">
        <f t="shared" si="14"/>
        <v>0.20399999999999999</v>
      </c>
      <c r="F42" s="28">
        <f t="shared" si="14"/>
        <v>0.2</v>
      </c>
      <c r="G42" s="28">
        <f t="shared" si="14"/>
        <v>0.19699999999999998</v>
      </c>
      <c r="H42" s="28">
        <f t="shared" si="14"/>
        <v>0.19499999999999998</v>
      </c>
      <c r="I42" s="138">
        <f t="shared" si="14"/>
        <v>0.19399999999999998</v>
      </c>
      <c r="J42" s="100"/>
      <c r="K42" s="142"/>
      <c r="L42" s="111"/>
      <c r="M42" s="171" t="s">
        <v>558</v>
      </c>
      <c r="N42" s="132"/>
    </row>
    <row r="43" spans="1:15">
      <c r="A43" s="55" t="s">
        <v>44</v>
      </c>
      <c r="B43" s="27">
        <f t="shared" ref="B43:I43" si="15">B24/B17</f>
        <v>0.24357674104124408</v>
      </c>
      <c r="C43" s="27">
        <f t="shared" si="15"/>
        <v>0.28326530612244899</v>
      </c>
      <c r="D43" s="28">
        <f t="shared" si="15"/>
        <v>0.25500000000000006</v>
      </c>
      <c r="E43" s="28">
        <f t="shared" si="15"/>
        <v>0.26000000000000006</v>
      </c>
      <c r="F43" s="28">
        <f t="shared" si="15"/>
        <v>0.26500000000000001</v>
      </c>
      <c r="G43" s="28">
        <f t="shared" si="15"/>
        <v>0.26999999999999991</v>
      </c>
      <c r="H43" s="28">
        <f t="shared" si="15"/>
        <v>0.27400000000000008</v>
      </c>
      <c r="I43" s="138">
        <f t="shared" si="15"/>
        <v>0.27700000000000002</v>
      </c>
      <c r="J43" s="100"/>
      <c r="K43" s="142"/>
      <c r="L43" s="111"/>
      <c r="M43" s="171" t="s">
        <v>559</v>
      </c>
      <c r="N43" s="132"/>
    </row>
    <row r="44" spans="1:15">
      <c r="A44" s="55" t="s">
        <v>45</v>
      </c>
      <c r="B44" s="27">
        <f>-B29/B28</f>
        <v>0.21729651162790697</v>
      </c>
      <c r="C44" s="27">
        <f>-C29/C28</f>
        <v>0.20704310868245293</v>
      </c>
      <c r="D44" s="18">
        <v>0.21</v>
      </c>
      <c r="E44" s="18">
        <v>0.21</v>
      </c>
      <c r="F44" s="18">
        <v>0.21</v>
      </c>
      <c r="G44" s="18">
        <v>0.21</v>
      </c>
      <c r="H44" s="18">
        <v>0.21</v>
      </c>
      <c r="I44" s="88">
        <v>0.21</v>
      </c>
      <c r="J44" s="100"/>
      <c r="K44" s="141"/>
      <c r="L44" s="110"/>
      <c r="M44" s="171" t="s">
        <v>560</v>
      </c>
      <c r="N44" s="132"/>
    </row>
    <row r="45" spans="1:15">
      <c r="A45" s="55" t="s">
        <v>46</v>
      </c>
      <c r="B45" s="27">
        <f t="shared" ref="B45:I45" si="16">B34/B17</f>
        <v>0.27045300878972278</v>
      </c>
      <c r="C45" s="27">
        <f t="shared" si="16"/>
        <v>0.27542857142857141</v>
      </c>
      <c r="D45" s="28">
        <f t="shared" si="16"/>
        <v>0.28000000000000003</v>
      </c>
      <c r="E45" s="28">
        <f t="shared" si="16"/>
        <v>0.28399999999999997</v>
      </c>
      <c r="F45" s="28">
        <f t="shared" si="16"/>
        <v>0.28799999999999998</v>
      </c>
      <c r="G45" s="28">
        <f t="shared" si="16"/>
        <v>0.29199999999999998</v>
      </c>
      <c r="H45" s="28">
        <f t="shared" si="16"/>
        <v>0.29499999999999998</v>
      </c>
      <c r="I45" s="138">
        <f t="shared" si="16"/>
        <v>0.29699999999999999</v>
      </c>
      <c r="J45" s="100"/>
      <c r="K45" s="142"/>
      <c r="L45" s="111"/>
      <c r="M45" s="171" t="s">
        <v>561</v>
      </c>
      <c r="N45" s="132"/>
    </row>
    <row r="46" spans="1:15" ht="16" thickBot="1">
      <c r="A46" s="57" t="s">
        <v>47</v>
      </c>
      <c r="B46" s="139">
        <f>'Historical Data'!E47</f>
        <v>0.11</v>
      </c>
      <c r="C46" s="139">
        <f>'Historical Data'!F47</f>
        <v>0.11</v>
      </c>
      <c r="D46" s="58">
        <v>0.125</v>
      </c>
      <c r="E46" s="58">
        <v>0.125</v>
      </c>
      <c r="F46" s="58">
        <v>0.125</v>
      </c>
      <c r="G46" s="58">
        <v>0.125</v>
      </c>
      <c r="H46" s="58">
        <v>0.125</v>
      </c>
      <c r="I46" s="59">
        <v>0.125</v>
      </c>
      <c r="J46" s="100"/>
      <c r="K46" s="143"/>
      <c r="L46" s="110"/>
      <c r="M46" s="172" t="s">
        <v>562</v>
      </c>
      <c r="N46" s="133"/>
    </row>
    <row r="47" spans="1:15" ht="30" customHeight="1" thickBot="1">
      <c r="A47" s="3"/>
      <c r="B47" s="3"/>
      <c r="C47" s="3"/>
      <c r="D47" s="3"/>
      <c r="E47" s="3"/>
      <c r="F47" s="3"/>
      <c r="G47" s="3"/>
      <c r="H47" s="3"/>
      <c r="I47" s="3"/>
      <c r="J47" s="95"/>
      <c r="K47" s="105"/>
      <c r="L47" s="105"/>
      <c r="M47" s="4"/>
      <c r="N47" s="22"/>
      <c r="O47" s="1"/>
    </row>
    <row r="48" spans="1:15">
      <c r="A48" s="136" t="s">
        <v>48</v>
      </c>
      <c r="B48" s="53"/>
      <c r="C48" s="53"/>
      <c r="D48" s="53"/>
      <c r="E48" s="53"/>
      <c r="F48" s="53"/>
      <c r="G48" s="53"/>
      <c r="H48" s="53"/>
      <c r="I48" s="54"/>
      <c r="J48" s="96"/>
      <c r="K48" s="148" t="s">
        <v>104</v>
      </c>
      <c r="L48" s="149"/>
      <c r="M48" s="149"/>
      <c r="N48" s="150"/>
    </row>
    <row r="49" spans="1:14">
      <c r="A49" s="140"/>
      <c r="B49" s="83" t="s">
        <v>9</v>
      </c>
      <c r="C49" s="83" t="s">
        <v>11</v>
      </c>
      <c r="D49" s="83" t="s">
        <v>98</v>
      </c>
      <c r="E49" s="83" t="s">
        <v>99</v>
      </c>
      <c r="F49" s="83" t="s">
        <v>100</v>
      </c>
      <c r="G49" s="83" t="s">
        <v>101</v>
      </c>
      <c r="H49" s="83" t="s">
        <v>102</v>
      </c>
      <c r="I49" s="84" t="s">
        <v>103</v>
      </c>
      <c r="J49" s="96"/>
      <c r="K49" s="151"/>
      <c r="L49" s="147"/>
      <c r="M49" s="147"/>
      <c r="N49" s="152"/>
    </row>
    <row r="50" spans="1:14" ht="16" thickBot="1">
      <c r="A50" s="57"/>
      <c r="B50" s="86"/>
      <c r="C50" s="86"/>
      <c r="D50" s="86"/>
      <c r="E50" s="86"/>
      <c r="F50" s="86"/>
      <c r="G50" s="86"/>
      <c r="H50" s="86"/>
      <c r="I50" s="87"/>
      <c r="J50" s="95"/>
      <c r="K50" s="151"/>
      <c r="L50" s="147"/>
      <c r="M50" s="147"/>
      <c r="N50" s="152"/>
    </row>
    <row r="51" spans="1:14">
      <c r="A51" s="55" t="s">
        <v>49</v>
      </c>
      <c r="B51" s="24">
        <f>'Historical Data'!E53</f>
        <v>954</v>
      </c>
      <c r="C51" s="24">
        <f>'Historical Data'!F53</f>
        <v>932</v>
      </c>
      <c r="D51" s="20">
        <f t="shared" ref="D51:I51" si="17">C51+D98</f>
        <v>1381.3891202277389</v>
      </c>
      <c r="E51" s="20">
        <f t="shared" si="17"/>
        <v>1934.5267620442187</v>
      </c>
      <c r="F51" s="20">
        <f t="shared" si="17"/>
        <v>2524.7046722027576</v>
      </c>
      <c r="G51" s="20">
        <f t="shared" si="17"/>
        <v>3160.8360557003125</v>
      </c>
      <c r="H51" s="20">
        <f t="shared" si="17"/>
        <v>3828.3733414770873</v>
      </c>
      <c r="I51" s="85">
        <f t="shared" si="17"/>
        <v>4536.2063415266994</v>
      </c>
      <c r="J51" s="98"/>
      <c r="K51" s="158"/>
      <c r="L51" s="159"/>
      <c r="M51" s="160"/>
      <c r="N51" s="161"/>
    </row>
    <row r="52" spans="1:14">
      <c r="A52" s="55" t="s">
        <v>50</v>
      </c>
      <c r="B52" s="24">
        <f>'Historical Data'!E54</f>
        <v>1129</v>
      </c>
      <c r="C52" s="24">
        <f>'Historical Data'!F54</f>
        <v>1075</v>
      </c>
      <c r="D52" s="20">
        <f t="shared" ref="D52:I52" si="18">D107</f>
        <v>1127.6712328767123</v>
      </c>
      <c r="E52" s="20">
        <f t="shared" si="18"/>
        <v>1194.7676712328766</v>
      </c>
      <c r="F52" s="20">
        <f t="shared" si="18"/>
        <v>1263.1083820273971</v>
      </c>
      <c r="G52" s="20">
        <f t="shared" si="18"/>
        <v>1331.0636129804711</v>
      </c>
      <c r="H52" s="20">
        <f t="shared" si="18"/>
        <v>1397.3505809068988</v>
      </c>
      <c r="I52" s="85">
        <f t="shared" si="18"/>
        <v>1461.2095024543441</v>
      </c>
      <c r="J52" s="98"/>
      <c r="K52" s="153"/>
      <c r="L52" s="108"/>
      <c r="M52" s="4"/>
      <c r="N52" s="132"/>
    </row>
    <row r="53" spans="1:14">
      <c r="A53" s="55" t="s">
        <v>51</v>
      </c>
      <c r="B53" s="24">
        <f>'Historical Data'!E55</f>
        <v>79</v>
      </c>
      <c r="C53" s="24">
        <f>'Historical Data'!F55</f>
        <v>62</v>
      </c>
      <c r="D53" s="20">
        <f t="shared" ref="D53:I53" si="19">D114</f>
        <v>64.13630136986302</v>
      </c>
      <c r="E53" s="20">
        <f t="shared" si="19"/>
        <v>67.429700445205469</v>
      </c>
      <c r="F53" s="20">
        <f t="shared" si="19"/>
        <v>71.01037435210273</v>
      </c>
      <c r="G53" s="20">
        <f t="shared" si="19"/>
        <v>74.539562326906378</v>
      </c>
      <c r="H53" s="20">
        <f t="shared" si="19"/>
        <v>77.945962091212948</v>
      </c>
      <c r="I53" s="85">
        <f t="shared" si="19"/>
        <v>81.188452980119479</v>
      </c>
      <c r="J53" s="98"/>
      <c r="K53" s="153"/>
      <c r="L53" s="108"/>
      <c r="M53" s="4"/>
      <c r="N53" s="132"/>
    </row>
    <row r="54" spans="1:14">
      <c r="A54" s="55" t="s">
        <v>52</v>
      </c>
      <c r="B54" s="24">
        <f>'Historical Data'!E56</f>
        <v>495</v>
      </c>
      <c r="C54" s="24">
        <f>'Historical Data'!F56</f>
        <v>564</v>
      </c>
      <c r="D54" s="20">
        <f>D17*9.2%</f>
        <v>591.67499999999995</v>
      </c>
      <c r="E54" s="20">
        <f>E17*9.2%</f>
        <v>626.87966249999988</v>
      </c>
      <c r="F54" s="20">
        <f>F17*9.2%</f>
        <v>662.73717919499984</v>
      </c>
      <c r="G54" s="20">
        <f>G17*9.2%</f>
        <v>698.3924394356909</v>
      </c>
      <c r="H54" s="20">
        <f>H17*9.2%</f>
        <v>733.17238291958847</v>
      </c>
      <c r="I54" s="85">
        <f>I17*9.2%</f>
        <v>766.67836081901362</v>
      </c>
      <c r="J54" s="98"/>
      <c r="K54" s="153"/>
      <c r="L54" s="108"/>
      <c r="M54" s="4"/>
      <c r="N54" s="132"/>
    </row>
    <row r="55" spans="1:14">
      <c r="A55" s="55" t="s">
        <v>53</v>
      </c>
      <c r="B55" s="24">
        <f>'Historical Data'!E57</f>
        <v>79</v>
      </c>
      <c r="C55" s="24">
        <f>'Historical Data'!F57</f>
        <v>68</v>
      </c>
      <c r="D55" s="20">
        <f t="shared" ref="D55:I55" si="20">D130</f>
        <v>75.897500000000008</v>
      </c>
      <c r="E55" s="20">
        <f t="shared" si="20"/>
        <v>82.564338500000005</v>
      </c>
      <c r="F55" s="20">
        <f t="shared" si="20"/>
        <v>88.338576512900005</v>
      </c>
      <c r="G55" s="20">
        <f t="shared" si="20"/>
        <v>93.416487776991687</v>
      </c>
      <c r="H55" s="20">
        <f t="shared" si="20"/>
        <v>97.906142773371585</v>
      </c>
      <c r="I55" s="85">
        <f t="shared" si="20"/>
        <v>101.86814171609981</v>
      </c>
      <c r="J55" s="98"/>
      <c r="K55" s="153"/>
      <c r="L55" s="108"/>
      <c r="M55" s="4"/>
      <c r="N55" s="132"/>
    </row>
    <row r="56" spans="1:14">
      <c r="A56" s="55" t="s">
        <v>54</v>
      </c>
      <c r="B56" s="24">
        <f>'Historical Data'!E58</f>
        <v>6762</v>
      </c>
      <c r="C56" s="24">
        <f>'Historical Data'!F58</f>
        <v>6883</v>
      </c>
      <c r="D56" s="20">
        <f>D141+D17*4.4%</f>
        <v>6861.3525000000009</v>
      </c>
      <c r="E56" s="20">
        <f>E141+E17*4.4%</f>
        <v>6813.6044443125002</v>
      </c>
      <c r="F56" s="20">
        <f>F141+F17*4.4%</f>
        <v>6770.9519659802254</v>
      </c>
      <c r="G56" s="20">
        <f>G141+G17*4.4%</f>
        <v>6725.9924042250768</v>
      </c>
      <c r="H56" s="20">
        <f>H141+H17*4.4%</f>
        <v>6686.3364125364596</v>
      </c>
      <c r="I56" s="85">
        <f>I141+I17*4.4%</f>
        <v>6644.2315188355915</v>
      </c>
      <c r="J56" s="98"/>
      <c r="K56" s="153"/>
      <c r="L56" s="108"/>
      <c r="M56" s="4"/>
      <c r="N56" s="132"/>
    </row>
    <row r="57" spans="1:14">
      <c r="A57" s="55"/>
      <c r="B57" s="24"/>
      <c r="C57" s="24"/>
      <c r="D57" s="20"/>
      <c r="E57" s="20"/>
      <c r="F57" s="20"/>
      <c r="G57" s="20"/>
      <c r="H57" s="20"/>
      <c r="I57" s="85"/>
      <c r="J57" s="98"/>
      <c r="K57" s="153"/>
      <c r="L57" s="108"/>
      <c r="M57" s="4"/>
      <c r="N57" s="132"/>
    </row>
    <row r="58" spans="1:14">
      <c r="A58" s="64" t="s">
        <v>55</v>
      </c>
      <c r="B58" s="15">
        <f>'Historical Data'!E60</f>
        <v>9498</v>
      </c>
      <c r="C58" s="15">
        <f>'Historical Data'!F60</f>
        <v>9584</v>
      </c>
      <c r="D58" s="15">
        <f t="shared" ref="D58:I58" si="21">SUM(D51:D56)</f>
        <v>10102.121654474315</v>
      </c>
      <c r="E58" s="15">
        <f t="shared" si="21"/>
        <v>10719.772579034801</v>
      </c>
      <c r="F58" s="15">
        <f t="shared" si="21"/>
        <v>11380.851150270382</v>
      </c>
      <c r="G58" s="15">
        <f t="shared" si="21"/>
        <v>12084.24056244545</v>
      </c>
      <c r="H58" s="15">
        <f t="shared" si="21"/>
        <v>12821.084822704619</v>
      </c>
      <c r="I58" s="65">
        <f t="shared" si="21"/>
        <v>13591.382318331867</v>
      </c>
      <c r="J58" s="99"/>
      <c r="K58" s="154"/>
      <c r="L58" s="109"/>
      <c r="M58" s="4"/>
      <c r="N58" s="132"/>
    </row>
    <row r="59" spans="1:14">
      <c r="A59" s="55"/>
      <c r="B59" s="24"/>
      <c r="C59" s="24"/>
      <c r="D59" s="20"/>
      <c r="E59" s="20"/>
      <c r="F59" s="20"/>
      <c r="G59" s="20"/>
      <c r="H59" s="20"/>
      <c r="I59" s="85"/>
      <c r="J59" s="98"/>
      <c r="K59" s="153"/>
      <c r="L59" s="108"/>
      <c r="M59" s="4"/>
      <c r="N59" s="132"/>
    </row>
    <row r="60" spans="1:14">
      <c r="A60" s="55" t="s">
        <v>56</v>
      </c>
      <c r="B60" s="24">
        <f>'Historical Data'!E62</f>
        <v>1087</v>
      </c>
      <c r="C60" s="24">
        <f>'Historical Data'!F62</f>
        <v>1118</v>
      </c>
      <c r="D60" s="20">
        <f>D17*18.3%</f>
        <v>1176.91875</v>
      </c>
      <c r="E60" s="20">
        <f>E17*18.3%</f>
        <v>1246.9454156249999</v>
      </c>
      <c r="F60" s="20">
        <f>F17*18.3%</f>
        <v>1318.2706933987497</v>
      </c>
      <c r="G60" s="20">
        <f>G17*18.3%</f>
        <v>1389.1936567036025</v>
      </c>
      <c r="H60" s="20">
        <f>H17*18.3%</f>
        <v>1458.3755008074422</v>
      </c>
      <c r="I60" s="85">
        <f>I17*18.3%</f>
        <v>1525.0232611943425</v>
      </c>
      <c r="J60" s="98"/>
      <c r="K60" s="153"/>
      <c r="L60" s="108"/>
      <c r="M60" s="4"/>
      <c r="N60" s="132"/>
    </row>
    <row r="61" spans="1:14">
      <c r="A61" s="55" t="s">
        <v>57</v>
      </c>
      <c r="B61" s="24">
        <f>'Historical Data'!E63</f>
        <v>221</v>
      </c>
      <c r="C61" s="24">
        <f>'Historical Data'!F63</f>
        <v>251</v>
      </c>
      <c r="D61" s="20">
        <f>D17*4.1%</f>
        <v>263.68124999999998</v>
      </c>
      <c r="E61" s="20">
        <f>E17*4.1%</f>
        <v>279.37028437499993</v>
      </c>
      <c r="F61" s="20">
        <f>F17*4.1%</f>
        <v>295.35026464124991</v>
      </c>
      <c r="G61" s="20">
        <f>G17*4.1%</f>
        <v>311.24010887894917</v>
      </c>
      <c r="H61" s="20">
        <f>H17*4.1%</f>
        <v>326.73986630112091</v>
      </c>
      <c r="I61" s="85">
        <f>I17*4.1%</f>
        <v>341.67187819108216</v>
      </c>
      <c r="J61" s="98"/>
      <c r="K61" s="153"/>
      <c r="L61" s="108"/>
      <c r="M61" s="4"/>
      <c r="N61" s="132"/>
    </row>
    <row r="62" spans="1:14">
      <c r="A62" s="55" t="s">
        <v>58</v>
      </c>
      <c r="B62" s="24">
        <f>'Historical Data'!E64</f>
        <v>2054</v>
      </c>
      <c r="C62" s="24">
        <f>'Historical Data'!F64</f>
        <v>1911</v>
      </c>
      <c r="D62" s="20">
        <f t="shared" ref="D62:I62" si="22">D121</f>
        <v>2025.84375</v>
      </c>
      <c r="E62" s="20">
        <f t="shared" si="22"/>
        <v>2146.381453125</v>
      </c>
      <c r="F62" s="20">
        <f t="shared" si="22"/>
        <v>2269.1544722437498</v>
      </c>
      <c r="G62" s="20">
        <f t="shared" si="22"/>
        <v>2391.2349828504634</v>
      </c>
      <c r="H62" s="20">
        <f t="shared" si="22"/>
        <v>2510.3184849964168</v>
      </c>
      <c r="I62" s="85">
        <f t="shared" si="22"/>
        <v>2625.0400397607532</v>
      </c>
      <c r="J62" s="98"/>
      <c r="K62" s="153"/>
      <c r="L62" s="108"/>
      <c r="M62" s="4"/>
      <c r="N62" s="132"/>
    </row>
    <row r="63" spans="1:14">
      <c r="A63" s="55" t="s">
        <v>59</v>
      </c>
      <c r="B63" s="24">
        <f>'Historical Data'!E65</f>
        <v>359</v>
      </c>
      <c r="C63" s="24">
        <f>'Historical Data'!F65</f>
        <v>721</v>
      </c>
      <c r="D63" s="20">
        <f t="shared" ref="D63:I63" si="23">D159</f>
        <v>721</v>
      </c>
      <c r="E63" s="20">
        <f t="shared" si="23"/>
        <v>721</v>
      </c>
      <c r="F63" s="20">
        <f t="shared" si="23"/>
        <v>721</v>
      </c>
      <c r="G63" s="20">
        <f t="shared" si="23"/>
        <v>721</v>
      </c>
      <c r="H63" s="20">
        <f t="shared" si="23"/>
        <v>721</v>
      </c>
      <c r="I63" s="85">
        <f t="shared" si="23"/>
        <v>721</v>
      </c>
      <c r="J63" s="98"/>
      <c r="K63" s="153"/>
      <c r="L63" s="108"/>
      <c r="M63" s="4"/>
      <c r="N63" s="132"/>
    </row>
    <row r="64" spans="1:14">
      <c r="A64" s="55" t="s">
        <v>60</v>
      </c>
      <c r="B64" s="24">
        <f>'Historical Data'!E66</f>
        <v>3484</v>
      </c>
      <c r="C64" s="24">
        <f>'Historical Data'!F66</f>
        <v>4033</v>
      </c>
      <c r="D64" s="20">
        <f t="shared" ref="D64:I64" si="24">D162</f>
        <v>4033</v>
      </c>
      <c r="E64" s="20">
        <f t="shared" si="24"/>
        <v>4033</v>
      </c>
      <c r="F64" s="20">
        <f t="shared" si="24"/>
        <v>4033</v>
      </c>
      <c r="G64" s="20">
        <f t="shared" si="24"/>
        <v>4033</v>
      </c>
      <c r="H64" s="20">
        <f t="shared" si="24"/>
        <v>4033</v>
      </c>
      <c r="I64" s="85">
        <f t="shared" si="24"/>
        <v>4033</v>
      </c>
      <c r="J64" s="98"/>
      <c r="K64" s="153"/>
      <c r="L64" s="108"/>
      <c r="M64" s="4"/>
      <c r="N64" s="132"/>
    </row>
    <row r="65" spans="1:15">
      <c r="A65" s="55" t="s">
        <v>61</v>
      </c>
      <c r="B65" s="24">
        <f>'Historical Data'!E67</f>
        <v>748</v>
      </c>
      <c r="C65" s="24">
        <f>'Historical Data'!F67</f>
        <v>752</v>
      </c>
      <c r="D65" s="20">
        <f>D17*12.2%</f>
        <v>784.61249999999995</v>
      </c>
      <c r="E65" s="20">
        <f>E17*12.2%</f>
        <v>831.29694374999985</v>
      </c>
      <c r="F65" s="20">
        <f>F17*12.2%</f>
        <v>878.8471289324998</v>
      </c>
      <c r="G65" s="20">
        <f>G17*12.2%</f>
        <v>926.12910446906847</v>
      </c>
      <c r="H65" s="20">
        <f>H17*12.2%</f>
        <v>972.25033387162819</v>
      </c>
      <c r="I65" s="85">
        <f>I17*12.2%</f>
        <v>1016.6821741295616</v>
      </c>
      <c r="J65" s="98"/>
      <c r="K65" s="153"/>
      <c r="L65" s="108"/>
      <c r="M65" s="4"/>
      <c r="N65" s="132"/>
    </row>
    <row r="66" spans="1:15">
      <c r="A66" s="55"/>
      <c r="B66" s="24"/>
      <c r="C66" s="24"/>
      <c r="D66" s="20"/>
      <c r="E66" s="20"/>
      <c r="F66" s="20"/>
      <c r="G66" s="20"/>
      <c r="H66" s="20"/>
      <c r="I66" s="85"/>
      <c r="J66" s="98"/>
      <c r="K66" s="153"/>
      <c r="L66" s="108"/>
      <c r="M66" s="4"/>
      <c r="N66" s="132"/>
    </row>
    <row r="67" spans="1:15">
      <c r="A67" s="64" t="s">
        <v>62</v>
      </c>
      <c r="B67" s="15">
        <f>'Historical Data'!E69</f>
        <v>7953</v>
      </c>
      <c r="C67" s="15">
        <f>'Historical Data'!F69</f>
        <v>8786</v>
      </c>
      <c r="D67" s="15">
        <f t="shared" ref="D67:I67" si="25">SUM(D60:D65)</f>
        <v>9005.0562499999996</v>
      </c>
      <c r="E67" s="15">
        <f t="shared" si="25"/>
        <v>9257.9940968749997</v>
      </c>
      <c r="F67" s="15">
        <f t="shared" si="25"/>
        <v>9515.6225592162482</v>
      </c>
      <c r="G67" s="15">
        <f t="shared" si="25"/>
        <v>9771.797852902082</v>
      </c>
      <c r="H67" s="15">
        <f t="shared" si="25"/>
        <v>10021.684185976608</v>
      </c>
      <c r="I67" s="65">
        <f t="shared" si="25"/>
        <v>10262.417353275738</v>
      </c>
      <c r="J67" s="99"/>
      <c r="K67" s="154"/>
      <c r="L67" s="109"/>
      <c r="M67" s="4"/>
      <c r="N67" s="132"/>
    </row>
    <row r="68" spans="1:15">
      <c r="A68" s="55"/>
      <c r="B68" s="24"/>
      <c r="C68" s="24"/>
      <c r="D68" s="20"/>
      <c r="E68" s="20"/>
      <c r="F68" s="20"/>
      <c r="G68" s="20"/>
      <c r="H68" s="20"/>
      <c r="I68" s="85"/>
      <c r="J68" s="98"/>
      <c r="K68" s="153"/>
      <c r="L68" s="108"/>
      <c r="M68" s="4"/>
      <c r="N68" s="132"/>
    </row>
    <row r="69" spans="1:15">
      <c r="A69" s="55" t="s">
        <v>63</v>
      </c>
      <c r="B69" s="24">
        <f>'Historical Data'!E71</f>
        <v>29</v>
      </c>
      <c r="C69" s="24">
        <f>'Historical Data'!F71</f>
        <v>28</v>
      </c>
      <c r="D69" s="20">
        <f t="shared" ref="D69:I69" si="26">C69</f>
        <v>28</v>
      </c>
      <c r="E69" s="20">
        <f t="shared" si="26"/>
        <v>28</v>
      </c>
      <c r="F69" s="20">
        <f t="shared" si="26"/>
        <v>28</v>
      </c>
      <c r="G69" s="20">
        <f t="shared" si="26"/>
        <v>28</v>
      </c>
      <c r="H69" s="20">
        <f t="shared" si="26"/>
        <v>28</v>
      </c>
      <c r="I69" s="85">
        <f t="shared" si="26"/>
        <v>28</v>
      </c>
      <c r="J69" s="98"/>
      <c r="K69" s="153"/>
      <c r="L69" s="108"/>
      <c r="M69" s="4"/>
      <c r="N69" s="132"/>
    </row>
    <row r="70" spans="1:15">
      <c r="A70" s="55" t="s">
        <v>64</v>
      </c>
      <c r="B70" s="24">
        <f>'Historical Data'!E72</f>
        <v>1359</v>
      </c>
      <c r="C70" s="24">
        <f>'Historical Data'!F72</f>
        <v>1171</v>
      </c>
      <c r="D70" s="20">
        <f t="shared" ref="D70:I70" si="27">D147</f>
        <v>1856.9459301250001</v>
      </c>
      <c r="E70" s="20">
        <f t="shared" si="27"/>
        <v>2607.6215720355676</v>
      </c>
      <c r="F70" s="20">
        <f t="shared" si="27"/>
        <v>3426.5002148354929</v>
      </c>
      <c r="G70" s="20">
        <f t="shared" si="27"/>
        <v>4312.8810968913704</v>
      </c>
      <c r="H70" s="20">
        <f t="shared" si="27"/>
        <v>5265.8898730627907</v>
      </c>
      <c r="I70" s="85">
        <f t="shared" si="27"/>
        <v>6281.1830286226659</v>
      </c>
      <c r="J70" s="98"/>
      <c r="K70" s="153"/>
      <c r="L70" s="108"/>
      <c r="M70" s="4"/>
      <c r="N70" s="132"/>
    </row>
    <row r="71" spans="1:15">
      <c r="A71" s="55" t="s">
        <v>65</v>
      </c>
      <c r="B71" s="24">
        <f>'Historical Data'!E73</f>
        <v>157</v>
      </c>
      <c r="C71" s="24">
        <f>'Historical Data'!F73</f>
        <v>-401</v>
      </c>
      <c r="D71" s="20">
        <f t="shared" ref="D71:I71" si="28">D72-D69-D70</f>
        <v>-787.88052565068506</v>
      </c>
      <c r="E71" s="20">
        <f t="shared" si="28"/>
        <v>-1173.8430898757661</v>
      </c>
      <c r="F71" s="20">
        <f t="shared" si="28"/>
        <v>-1589.2716237813588</v>
      </c>
      <c r="G71" s="20">
        <f t="shared" si="28"/>
        <v>-2028.4383873480028</v>
      </c>
      <c r="H71" s="20">
        <f t="shared" si="28"/>
        <v>-2494.4892363347799</v>
      </c>
      <c r="I71" s="85">
        <f t="shared" si="28"/>
        <v>-2980.2180635665363</v>
      </c>
      <c r="J71" s="98"/>
      <c r="K71" s="153"/>
      <c r="L71" s="108"/>
      <c r="M71" s="4"/>
      <c r="N71" s="132"/>
    </row>
    <row r="72" spans="1:15" ht="16" thickBot="1">
      <c r="A72" s="66" t="s">
        <v>66</v>
      </c>
      <c r="B72" s="67">
        <f>'Historical Data'!E74</f>
        <v>1545</v>
      </c>
      <c r="C72" s="67">
        <f>'Historical Data'!F74</f>
        <v>798</v>
      </c>
      <c r="D72" s="67">
        <f t="shared" ref="D72:I72" si="29">D58-D67</f>
        <v>1097.0654044743151</v>
      </c>
      <c r="E72" s="67">
        <f t="shared" si="29"/>
        <v>1461.7784821598016</v>
      </c>
      <c r="F72" s="67">
        <f t="shared" si="29"/>
        <v>1865.2285910541341</v>
      </c>
      <c r="G72" s="67">
        <f t="shared" si="29"/>
        <v>2312.4427095433675</v>
      </c>
      <c r="H72" s="67">
        <f t="shared" si="29"/>
        <v>2799.4006367280108</v>
      </c>
      <c r="I72" s="68">
        <f t="shared" si="29"/>
        <v>3328.9649650561296</v>
      </c>
      <c r="J72" s="99"/>
      <c r="K72" s="155"/>
      <c r="L72" s="156"/>
      <c r="M72" s="157"/>
      <c r="N72" s="133"/>
    </row>
    <row r="73" spans="1:15" ht="23" customHeight="1" thickBot="1">
      <c r="A73" s="3"/>
      <c r="B73" s="23"/>
      <c r="C73" s="23"/>
      <c r="D73" s="19"/>
      <c r="E73" s="19"/>
      <c r="F73" s="19"/>
      <c r="G73" s="19"/>
      <c r="H73" s="19"/>
      <c r="I73" s="19"/>
      <c r="J73" s="98"/>
      <c r="K73" s="108"/>
      <c r="L73" s="108"/>
      <c r="M73" s="4"/>
      <c r="N73" s="22"/>
      <c r="O73" s="1"/>
    </row>
    <row r="74" spans="1:15" ht="16" thickBot="1">
      <c r="A74" s="146" t="s">
        <v>67</v>
      </c>
      <c r="B74" s="81">
        <f>'Historical Data'!E76</f>
        <v>0</v>
      </c>
      <c r="C74" s="81">
        <f>'Historical Data'!F76</f>
        <v>0</v>
      </c>
      <c r="D74" s="81">
        <f t="shared" ref="D74:I74" si="30">D58-D67-D72</f>
        <v>0</v>
      </c>
      <c r="E74" s="81">
        <f t="shared" si="30"/>
        <v>0</v>
      </c>
      <c r="F74" s="81">
        <f t="shared" si="30"/>
        <v>0</v>
      </c>
      <c r="G74" s="81">
        <f t="shared" si="30"/>
        <v>0</v>
      </c>
      <c r="H74" s="81">
        <f t="shared" si="30"/>
        <v>0</v>
      </c>
      <c r="I74" s="82">
        <f t="shared" si="30"/>
        <v>0</v>
      </c>
      <c r="J74" s="99"/>
      <c r="K74" s="109"/>
      <c r="L74" s="109"/>
      <c r="M74" s="4"/>
      <c r="N74" s="22"/>
      <c r="O74" s="1"/>
    </row>
    <row r="75" spans="1:15" ht="23" customHeight="1" thickBot="1">
      <c r="A75" s="3"/>
      <c r="B75" s="3"/>
      <c r="C75" s="3"/>
      <c r="D75" s="3"/>
      <c r="E75" s="3"/>
      <c r="F75" s="3"/>
      <c r="G75" s="3"/>
      <c r="H75" s="3"/>
      <c r="I75" s="3"/>
      <c r="J75" s="95"/>
      <c r="K75" s="105"/>
      <c r="L75" s="105"/>
      <c r="M75" s="4"/>
      <c r="N75" s="22"/>
      <c r="O75" s="1"/>
    </row>
    <row r="76" spans="1:15">
      <c r="A76" s="52" t="s">
        <v>108</v>
      </c>
      <c r="B76" s="53"/>
      <c r="C76" s="53"/>
      <c r="D76" s="53"/>
      <c r="E76" s="53"/>
      <c r="F76" s="53"/>
      <c r="G76" s="53"/>
      <c r="H76" s="53"/>
      <c r="I76" s="54"/>
      <c r="J76" s="96"/>
      <c r="K76" s="148" t="s">
        <v>104</v>
      </c>
      <c r="L76" s="149"/>
      <c r="M76" s="149"/>
      <c r="N76" s="150"/>
    </row>
    <row r="77" spans="1:15">
      <c r="A77" s="55"/>
      <c r="B77" s="4"/>
      <c r="C77" s="4"/>
      <c r="D77" s="4">
        <v>2026</v>
      </c>
      <c r="E77" s="4">
        <v>2027</v>
      </c>
      <c r="F77" s="4">
        <v>2028</v>
      </c>
      <c r="G77" s="4">
        <v>2029</v>
      </c>
      <c r="H77" s="4">
        <v>2030</v>
      </c>
      <c r="I77" s="62">
        <v>2031</v>
      </c>
      <c r="J77" s="95"/>
      <c r="K77" s="151"/>
      <c r="L77" s="147"/>
      <c r="M77" s="147"/>
      <c r="N77" s="152"/>
    </row>
    <row r="78" spans="1:15" ht="16" thickBot="1">
      <c r="A78" s="57"/>
      <c r="B78" s="75"/>
      <c r="C78" s="75"/>
      <c r="D78" s="75"/>
      <c r="E78" s="75"/>
      <c r="F78" s="75"/>
      <c r="G78" s="75"/>
      <c r="H78" s="75"/>
      <c r="I78" s="76"/>
      <c r="J78" s="95"/>
      <c r="K78" s="151"/>
      <c r="L78" s="147"/>
      <c r="M78" s="147"/>
      <c r="N78" s="152"/>
    </row>
    <row r="79" spans="1:15">
      <c r="A79" s="55" t="s">
        <v>33</v>
      </c>
      <c r="B79" s="4"/>
      <c r="C79" s="4"/>
      <c r="D79" s="20">
        <f>D30</f>
        <v>1203.4139125000002</v>
      </c>
      <c r="E79" s="20">
        <f>E30</f>
        <v>1316.9748103694174</v>
      </c>
      <c r="F79" s="20">
        <f>F30</f>
        <v>1436.6291978946053</v>
      </c>
      <c r="G79" s="20">
        <f>G30</f>
        <v>1555.0541790453983</v>
      </c>
      <c r="H79" s="20">
        <f>H30</f>
        <v>1671.9452213533687</v>
      </c>
      <c r="I79" s="85">
        <f>I30</f>
        <v>1781.2160623857462</v>
      </c>
      <c r="J79" s="98"/>
      <c r="K79" s="158"/>
      <c r="L79" s="159"/>
      <c r="M79" s="160"/>
      <c r="N79" s="161"/>
    </row>
    <row r="80" spans="1:15">
      <c r="A80" s="55" t="s">
        <v>109</v>
      </c>
      <c r="B80" s="4"/>
      <c r="C80" s="4"/>
      <c r="D80" s="20">
        <f>D32</f>
        <v>334.42500000000001</v>
      </c>
      <c r="E80" s="20">
        <f>E32</f>
        <v>354.32328749999994</v>
      </c>
      <c r="F80" s="20">
        <f>F32</f>
        <v>367.38691455374993</v>
      </c>
      <c r="G80" s="20">
        <f>G32</f>
        <v>387.15233055674167</v>
      </c>
      <c r="H80" s="20">
        <f>H32</f>
        <v>398.46325158673289</v>
      </c>
      <c r="I80" s="85">
        <f>I32</f>
        <v>416.67302218424658</v>
      </c>
      <c r="J80" s="98"/>
      <c r="K80" s="153"/>
      <c r="L80" s="108"/>
      <c r="M80" s="4"/>
      <c r="N80" s="132"/>
    </row>
    <row r="81" spans="1:14">
      <c r="A81" s="55" t="s">
        <v>110</v>
      </c>
      <c r="B81" s="4"/>
      <c r="C81" s="4"/>
      <c r="D81" s="20">
        <f>D17*0.42%</f>
        <v>27.011249999999997</v>
      </c>
      <c r="E81" s="20">
        <f>E17*0.42%</f>
        <v>28.618419374999995</v>
      </c>
      <c r="F81" s="20">
        <f>F17*0.42%</f>
        <v>30.255392963249992</v>
      </c>
      <c r="G81" s="20">
        <f>G17*0.42%</f>
        <v>31.883133104672847</v>
      </c>
      <c r="H81" s="20">
        <f>H17*0.42%</f>
        <v>33.470913133285556</v>
      </c>
      <c r="I81" s="85">
        <f>I17*0.42%</f>
        <v>35.000533863476711</v>
      </c>
      <c r="J81" s="98"/>
      <c r="K81" s="153"/>
      <c r="L81" s="108"/>
      <c r="M81" s="4"/>
      <c r="N81" s="132"/>
    </row>
    <row r="82" spans="1:14">
      <c r="A82" s="55" t="s">
        <v>111</v>
      </c>
      <c r="B82" s="4"/>
      <c r="C82" s="4"/>
      <c r="D82" s="20">
        <f t="shared" ref="D82:I82" si="31">-((D52+D53+D54)-(C52+C53+C54))</f>
        <v>-82.482534246575369</v>
      </c>
      <c r="E82" s="20">
        <f t="shared" si="31"/>
        <v>-105.59449993150679</v>
      </c>
      <c r="F82" s="20">
        <f t="shared" si="31"/>
        <v>-107.7789013964175</v>
      </c>
      <c r="G82" s="20">
        <f t="shared" si="31"/>
        <v>-107.13967916856882</v>
      </c>
      <c r="H82" s="20">
        <f t="shared" si="31"/>
        <v>-104.47331117463182</v>
      </c>
      <c r="I82" s="85">
        <f t="shared" si="31"/>
        <v>-100.60739033577693</v>
      </c>
      <c r="J82" s="98"/>
      <c r="K82" s="153"/>
      <c r="L82" s="108"/>
      <c r="M82" s="4"/>
      <c r="N82" s="132"/>
    </row>
    <row r="83" spans="1:14">
      <c r="A83" s="55" t="s">
        <v>112</v>
      </c>
      <c r="B83" s="4"/>
      <c r="C83" s="4"/>
      <c r="D83" s="20">
        <f t="shared" ref="D83:I83" si="32">(D60+D61+D62)-(C60+C61+C62)</f>
        <v>186.44374999999991</v>
      </c>
      <c r="E83" s="20">
        <f t="shared" si="32"/>
        <v>206.2534031250002</v>
      </c>
      <c r="F83" s="20">
        <f t="shared" si="32"/>
        <v>210.07827715874919</v>
      </c>
      <c r="G83" s="20">
        <f t="shared" si="32"/>
        <v>208.89331814926572</v>
      </c>
      <c r="H83" s="20">
        <f t="shared" si="32"/>
        <v>203.76510367196443</v>
      </c>
      <c r="I83" s="85">
        <f t="shared" si="32"/>
        <v>196.30132704119842</v>
      </c>
      <c r="J83" s="98"/>
      <c r="K83" s="153"/>
      <c r="L83" s="108"/>
      <c r="M83" s="4"/>
      <c r="N83" s="132"/>
    </row>
    <row r="84" spans="1:14">
      <c r="A84" s="55" t="s">
        <v>54</v>
      </c>
      <c r="B84" s="4"/>
      <c r="C84" s="4"/>
      <c r="D84" s="20">
        <f t="shared" ref="D84:I84" si="33">-(D56-C56)</f>
        <v>21.647499999999127</v>
      </c>
      <c r="E84" s="20">
        <f t="shared" si="33"/>
        <v>47.74805568750071</v>
      </c>
      <c r="F84" s="20">
        <f t="shared" si="33"/>
        <v>42.652478332274768</v>
      </c>
      <c r="G84" s="20">
        <f t="shared" si="33"/>
        <v>44.95956175514857</v>
      </c>
      <c r="H84" s="20">
        <f t="shared" si="33"/>
        <v>39.655991688617178</v>
      </c>
      <c r="I84" s="85">
        <f t="shared" si="33"/>
        <v>42.104893700868161</v>
      </c>
      <c r="J84" s="98"/>
      <c r="K84" s="153"/>
      <c r="L84" s="108"/>
      <c r="M84" s="4"/>
      <c r="N84" s="132"/>
    </row>
    <row r="85" spans="1:14">
      <c r="A85" s="55" t="s">
        <v>61</v>
      </c>
      <c r="B85" s="4"/>
      <c r="C85" s="4"/>
      <c r="D85" s="20">
        <f t="shared" ref="D85:I85" si="34">D65-C65</f>
        <v>32.612499999999955</v>
      </c>
      <c r="E85" s="20">
        <f t="shared" si="34"/>
        <v>46.6844437499999</v>
      </c>
      <c r="F85" s="20">
        <f t="shared" si="34"/>
        <v>47.550185182499945</v>
      </c>
      <c r="G85" s="20">
        <f t="shared" si="34"/>
        <v>47.281975536568666</v>
      </c>
      <c r="H85" s="20">
        <f t="shared" si="34"/>
        <v>46.12122940255972</v>
      </c>
      <c r="I85" s="85">
        <f t="shared" si="34"/>
        <v>44.431840257933459</v>
      </c>
      <c r="J85" s="98"/>
      <c r="K85" s="153"/>
      <c r="L85" s="108"/>
      <c r="M85" s="4"/>
      <c r="N85" s="132"/>
    </row>
    <row r="86" spans="1:14">
      <c r="A86" s="64" t="s">
        <v>113</v>
      </c>
      <c r="B86" s="14"/>
      <c r="C86" s="14"/>
      <c r="D86" s="15">
        <f t="shared" ref="D86:I86" si="35">SUM(D79:D85)</f>
        <v>1723.0713782534237</v>
      </c>
      <c r="E86" s="15">
        <f t="shared" si="35"/>
        <v>1895.0079198754113</v>
      </c>
      <c r="F86" s="15">
        <f t="shared" si="35"/>
        <v>2026.7735446887116</v>
      </c>
      <c r="G86" s="15">
        <f t="shared" si="35"/>
        <v>2168.0848189792268</v>
      </c>
      <c r="H86" s="15">
        <f t="shared" si="35"/>
        <v>2288.9483996618965</v>
      </c>
      <c r="I86" s="65">
        <f t="shared" si="35"/>
        <v>2415.1202890976929</v>
      </c>
      <c r="J86" s="99"/>
      <c r="K86" s="154"/>
      <c r="L86" s="109"/>
      <c r="M86" s="105"/>
      <c r="N86" s="164"/>
    </row>
    <row r="87" spans="1:14">
      <c r="A87" s="55"/>
      <c r="B87" s="4"/>
      <c r="C87" s="4"/>
      <c r="D87" s="20"/>
      <c r="E87" s="20"/>
      <c r="F87" s="20"/>
      <c r="G87" s="20"/>
      <c r="H87" s="20"/>
      <c r="I87" s="85"/>
      <c r="J87" s="98"/>
      <c r="K87" s="153"/>
      <c r="L87" s="108"/>
      <c r="M87" s="105"/>
      <c r="N87" s="164"/>
    </row>
    <row r="88" spans="1:14">
      <c r="A88" s="55" t="s">
        <v>114</v>
      </c>
      <c r="B88" s="4"/>
      <c r="C88" s="4"/>
      <c r="D88" s="20">
        <f>-D17*0.055</f>
        <v>-353.71875</v>
      </c>
      <c r="E88" s="20">
        <f>-E17*0.054</f>
        <v>-367.95110624999995</v>
      </c>
      <c r="F88" s="20">
        <f>-F17*0.053</f>
        <v>-381.79424453624995</v>
      </c>
      <c r="G88" s="20">
        <f>-G17*0.052</f>
        <v>-394.74355272452095</v>
      </c>
      <c r="H88" s="20">
        <f>-H17*0.051</f>
        <v>-406.4325166184675</v>
      </c>
      <c r="I88" s="85">
        <f>-I17*0.05</f>
        <v>-416.67302218424658</v>
      </c>
      <c r="J88" s="98"/>
      <c r="K88" s="153"/>
      <c r="L88" s="108"/>
      <c r="M88" s="105"/>
      <c r="N88" s="164"/>
    </row>
    <row r="89" spans="1:14">
      <c r="A89" s="55" t="s">
        <v>115</v>
      </c>
      <c r="B89" s="4"/>
      <c r="C89" s="4"/>
      <c r="D89" s="20">
        <f>-D17*0.02</f>
        <v>-128.625</v>
      </c>
      <c r="E89" s="20">
        <f>-E17*0.015</f>
        <v>-102.20864062499999</v>
      </c>
      <c r="F89" s="20">
        <f>-F17*0.015</f>
        <v>-108.05497486874998</v>
      </c>
      <c r="G89" s="20">
        <f>-G17*0.015</f>
        <v>-113.86833251668874</v>
      </c>
      <c r="H89" s="20">
        <f>-H17*0.015</f>
        <v>-119.53897547601986</v>
      </c>
      <c r="I89" s="85">
        <f>-I17*0.015</f>
        <v>-125.00190665527397</v>
      </c>
      <c r="J89" s="98"/>
      <c r="K89" s="153"/>
      <c r="L89" s="108"/>
      <c r="M89" s="105"/>
      <c r="N89" s="164"/>
    </row>
    <row r="90" spans="1:14">
      <c r="A90" s="64" t="s">
        <v>116</v>
      </c>
      <c r="B90" s="14"/>
      <c r="C90" s="14"/>
      <c r="D90" s="15">
        <f t="shared" ref="D90:I90" si="36">SUM(D88:D89)</f>
        <v>-482.34375</v>
      </c>
      <c r="E90" s="15">
        <f t="shared" si="36"/>
        <v>-470.15974687499994</v>
      </c>
      <c r="F90" s="15">
        <f t="shared" si="36"/>
        <v>-489.84921940499993</v>
      </c>
      <c r="G90" s="15">
        <f t="shared" si="36"/>
        <v>-508.61188524120968</v>
      </c>
      <c r="H90" s="15">
        <f t="shared" si="36"/>
        <v>-525.9714920944873</v>
      </c>
      <c r="I90" s="65">
        <f t="shared" si="36"/>
        <v>-541.67492883952059</v>
      </c>
      <c r="J90" s="99"/>
      <c r="K90" s="154"/>
      <c r="L90" s="109"/>
      <c r="M90" s="105"/>
      <c r="N90" s="164"/>
    </row>
    <row r="91" spans="1:14">
      <c r="A91" s="55"/>
      <c r="B91" s="4"/>
      <c r="C91" s="4"/>
      <c r="D91" s="20"/>
      <c r="E91" s="20"/>
      <c r="F91" s="20"/>
      <c r="G91" s="20"/>
      <c r="H91" s="20"/>
      <c r="I91" s="85"/>
      <c r="J91" s="98"/>
      <c r="K91" s="153"/>
      <c r="L91" s="108"/>
      <c r="M91" s="105"/>
      <c r="N91" s="164"/>
    </row>
    <row r="92" spans="1:14">
      <c r="A92" s="55" t="s">
        <v>60</v>
      </c>
      <c r="B92" s="4"/>
      <c r="C92" s="4"/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85">
        <v>0</v>
      </c>
      <c r="J92" s="98"/>
      <c r="K92" s="153"/>
      <c r="L92" s="108"/>
      <c r="M92" s="105"/>
      <c r="N92" s="164"/>
    </row>
    <row r="93" spans="1:14">
      <c r="A93" s="55" t="s">
        <v>117</v>
      </c>
      <c r="B93" s="4"/>
      <c r="C93" s="4"/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85">
        <v>0</v>
      </c>
      <c r="J93" s="98"/>
      <c r="K93" s="153"/>
      <c r="L93" s="108"/>
      <c r="M93" s="105"/>
      <c r="N93" s="164"/>
    </row>
    <row r="94" spans="1:14">
      <c r="A94" s="55" t="s">
        <v>118</v>
      </c>
      <c r="B94" s="4"/>
      <c r="C94" s="4"/>
      <c r="D94" s="20">
        <f t="shared" ref="D94:I94" si="37">-MAX(0,(D86+D88)*20%)</f>
        <v>-273.87052565068478</v>
      </c>
      <c r="E94" s="20">
        <f t="shared" si="37"/>
        <v>-305.41136272508231</v>
      </c>
      <c r="F94" s="20">
        <f t="shared" si="37"/>
        <v>-328.99586003049239</v>
      </c>
      <c r="G94" s="20">
        <f t="shared" si="37"/>
        <v>-354.66825325094123</v>
      </c>
      <c r="H94" s="20">
        <f t="shared" si="37"/>
        <v>-376.50317660868581</v>
      </c>
      <c r="I94" s="85">
        <f t="shared" si="37"/>
        <v>-399.68945338268929</v>
      </c>
      <c r="J94" s="98"/>
      <c r="K94" s="153"/>
      <c r="L94" s="108"/>
      <c r="M94" s="105"/>
      <c r="N94" s="164"/>
    </row>
    <row r="95" spans="1:14">
      <c r="A95" s="55" t="s">
        <v>119</v>
      </c>
      <c r="B95" s="4"/>
      <c r="C95" s="4"/>
      <c r="D95" s="20">
        <f t="shared" ref="D95:I95" si="38">-D79*43%</f>
        <v>-517.46798237500002</v>
      </c>
      <c r="E95" s="20">
        <f t="shared" si="38"/>
        <v>-566.29916845884941</v>
      </c>
      <c r="F95" s="20">
        <f t="shared" si="38"/>
        <v>-617.75055509468029</v>
      </c>
      <c r="G95" s="20">
        <f t="shared" si="38"/>
        <v>-668.6732969895213</v>
      </c>
      <c r="H95" s="20">
        <f t="shared" si="38"/>
        <v>-718.93644518194856</v>
      </c>
      <c r="I95" s="85">
        <f t="shared" si="38"/>
        <v>-765.92290682587088</v>
      </c>
      <c r="J95" s="98"/>
      <c r="K95" s="153"/>
      <c r="L95" s="108"/>
      <c r="M95" s="105"/>
      <c r="N95" s="164"/>
    </row>
    <row r="96" spans="1:14" ht="16" thickBot="1">
      <c r="A96" s="66" t="s">
        <v>120</v>
      </c>
      <c r="B96" s="167"/>
      <c r="C96" s="167"/>
      <c r="D96" s="67">
        <f t="shared" ref="D96:I96" si="39">SUM(D92:D95)</f>
        <v>-791.33850802568486</v>
      </c>
      <c r="E96" s="67">
        <f t="shared" si="39"/>
        <v>-871.71053118393172</v>
      </c>
      <c r="F96" s="67">
        <f t="shared" si="39"/>
        <v>-946.74641512517269</v>
      </c>
      <c r="G96" s="67">
        <f t="shared" si="39"/>
        <v>-1023.3415502404625</v>
      </c>
      <c r="H96" s="67">
        <f t="shared" si="39"/>
        <v>-1095.4396217906344</v>
      </c>
      <c r="I96" s="68">
        <f t="shared" si="39"/>
        <v>-1165.6123602085602</v>
      </c>
      <c r="J96" s="99"/>
      <c r="K96" s="155"/>
      <c r="L96" s="156"/>
      <c r="M96" s="165"/>
      <c r="N96" s="166"/>
    </row>
    <row r="97" spans="1:14" ht="16" thickBot="1">
      <c r="A97" s="3"/>
      <c r="B97" s="3"/>
      <c r="C97" s="3"/>
      <c r="D97" s="19"/>
      <c r="E97" s="19"/>
      <c r="F97" s="19"/>
      <c r="G97" s="19"/>
      <c r="H97" s="19"/>
      <c r="I97" s="19"/>
      <c r="J97" s="98"/>
      <c r="K97" s="108"/>
      <c r="L97" s="108"/>
      <c r="M97" s="105"/>
      <c r="N97" s="162"/>
    </row>
    <row r="98" spans="1:14" ht="16" thickBot="1">
      <c r="A98" s="80" t="s">
        <v>121</v>
      </c>
      <c r="B98" s="163"/>
      <c r="C98" s="163"/>
      <c r="D98" s="81">
        <f t="shared" ref="D98:I98" si="40">SUM(D86,D90,D96)</f>
        <v>449.38912022773889</v>
      </c>
      <c r="E98" s="81">
        <f t="shared" si="40"/>
        <v>553.13764181647969</v>
      </c>
      <c r="F98" s="81">
        <f t="shared" si="40"/>
        <v>590.17791015853891</v>
      </c>
      <c r="G98" s="81">
        <f t="shared" si="40"/>
        <v>636.13138349755468</v>
      </c>
      <c r="H98" s="81">
        <f t="shared" si="40"/>
        <v>667.53728577677475</v>
      </c>
      <c r="I98" s="82">
        <f t="shared" si="40"/>
        <v>707.83300004961211</v>
      </c>
      <c r="J98" s="99"/>
      <c r="K98" s="109"/>
      <c r="L98" s="109"/>
      <c r="M98" s="105"/>
      <c r="N98" s="162"/>
    </row>
    <row r="99" spans="1:14">
      <c r="A99" s="3"/>
      <c r="B99" s="3"/>
      <c r="C99" s="3"/>
      <c r="D99" s="19"/>
      <c r="E99" s="19"/>
      <c r="F99" s="19"/>
      <c r="G99" s="19"/>
      <c r="H99" s="19"/>
      <c r="I99" s="19"/>
      <c r="J99" s="98"/>
      <c r="K99" s="108"/>
      <c r="L99" s="108"/>
      <c r="M99" s="105"/>
      <c r="N99" s="162"/>
    </row>
    <row r="100" spans="1:14">
      <c r="A100" s="3"/>
      <c r="B100" s="3"/>
      <c r="C100" s="3"/>
      <c r="D100" s="19"/>
      <c r="E100" s="19"/>
      <c r="F100" s="19"/>
      <c r="G100" s="19"/>
      <c r="H100" s="19"/>
      <c r="I100" s="19"/>
      <c r="J100" s="98"/>
      <c r="K100" s="108"/>
      <c r="L100" s="108"/>
      <c r="M100" s="105"/>
      <c r="N100" s="162"/>
    </row>
    <row r="101" spans="1:14">
      <c r="A101" s="8" t="s">
        <v>122</v>
      </c>
      <c r="B101" s="8"/>
      <c r="C101" s="8"/>
      <c r="D101" s="29"/>
      <c r="E101" s="29"/>
      <c r="F101" s="29"/>
      <c r="G101" s="29"/>
      <c r="H101" s="29"/>
      <c r="I101" s="29"/>
      <c r="J101" s="101"/>
      <c r="K101" s="112"/>
      <c r="L101" s="112"/>
      <c r="M101" s="106"/>
      <c r="N101" s="145"/>
    </row>
    <row r="102" spans="1:14">
      <c r="A102" s="3" t="s">
        <v>123</v>
      </c>
      <c r="B102" s="3"/>
      <c r="C102" s="3"/>
      <c r="D102" s="19"/>
      <c r="E102" s="19"/>
      <c r="F102" s="19"/>
      <c r="G102" s="19"/>
      <c r="H102" s="19"/>
      <c r="I102" s="19"/>
      <c r="J102" s="98"/>
      <c r="K102" s="108"/>
      <c r="L102" s="108"/>
      <c r="M102" s="105"/>
      <c r="N102" s="162"/>
    </row>
    <row r="103" spans="1:14">
      <c r="A103" s="3"/>
      <c r="B103" s="3"/>
      <c r="C103" s="3"/>
      <c r="D103" s="19"/>
      <c r="E103" s="19"/>
      <c r="F103" s="19"/>
      <c r="G103" s="19"/>
      <c r="H103" s="19"/>
      <c r="I103" s="19"/>
      <c r="J103" s="98"/>
      <c r="K103" s="108"/>
      <c r="L103" s="108"/>
      <c r="M103" s="105"/>
      <c r="N103" s="162"/>
    </row>
    <row r="104" spans="1:14">
      <c r="A104" s="3"/>
      <c r="B104" s="3"/>
      <c r="C104" s="3"/>
      <c r="D104" s="19"/>
      <c r="E104" s="19"/>
      <c r="F104" s="19"/>
      <c r="G104" s="19"/>
      <c r="H104" s="19"/>
      <c r="I104" s="19"/>
      <c r="J104" s="98"/>
      <c r="K104" s="108"/>
      <c r="L104" s="108"/>
      <c r="M104" s="105"/>
      <c r="N104" s="162"/>
    </row>
    <row r="105" spans="1:14">
      <c r="A105" s="3" t="s">
        <v>124</v>
      </c>
      <c r="B105" s="3"/>
      <c r="C105" s="3"/>
      <c r="D105" s="19">
        <f t="shared" ref="D105:I105" si="41">C107</f>
        <v>1075</v>
      </c>
      <c r="E105" s="19">
        <f t="shared" si="41"/>
        <v>1127.6712328767123</v>
      </c>
      <c r="F105" s="19">
        <f t="shared" si="41"/>
        <v>1194.7676712328766</v>
      </c>
      <c r="G105" s="19">
        <f t="shared" si="41"/>
        <v>1263.1083820273971</v>
      </c>
      <c r="H105" s="19">
        <f t="shared" si="41"/>
        <v>1331.0636129804711</v>
      </c>
      <c r="I105" s="19">
        <f t="shared" si="41"/>
        <v>1397.3505809068988</v>
      </c>
      <c r="J105" s="98"/>
      <c r="K105" s="108"/>
      <c r="L105" s="108"/>
      <c r="M105" s="105"/>
      <c r="N105" s="162"/>
    </row>
    <row r="106" spans="1:14">
      <c r="A106" s="3" t="s">
        <v>125</v>
      </c>
      <c r="B106" s="3"/>
      <c r="C106" s="3"/>
      <c r="D106" s="19">
        <f t="shared" ref="D106:I106" si="42">D107-D105</f>
        <v>52.671232876712338</v>
      </c>
      <c r="E106" s="19">
        <f t="shared" si="42"/>
        <v>67.096438356164299</v>
      </c>
      <c r="F106" s="19">
        <f t="shared" si="42"/>
        <v>68.340710794520419</v>
      </c>
      <c r="G106" s="19">
        <f t="shared" si="42"/>
        <v>67.955230953074079</v>
      </c>
      <c r="H106" s="19">
        <f t="shared" si="42"/>
        <v>66.286967926427678</v>
      </c>
      <c r="I106" s="19">
        <f t="shared" si="42"/>
        <v>63.858921547445334</v>
      </c>
      <c r="J106" s="98"/>
      <c r="K106" s="108"/>
      <c r="L106" s="108"/>
      <c r="M106" s="105"/>
      <c r="N106" s="162"/>
    </row>
    <row r="107" spans="1:14">
      <c r="A107" s="12" t="s">
        <v>126</v>
      </c>
      <c r="B107" s="12">
        <f>B52</f>
        <v>1129</v>
      </c>
      <c r="C107" s="12">
        <f>C52</f>
        <v>1075</v>
      </c>
      <c r="D107" s="13">
        <f>D17*D109/365</f>
        <v>1127.6712328767123</v>
      </c>
      <c r="E107" s="13">
        <f>E17*E109/365</f>
        <v>1194.7676712328766</v>
      </c>
      <c r="F107" s="13">
        <f>F17*F109/365</f>
        <v>1263.1083820273971</v>
      </c>
      <c r="G107" s="13">
        <f>G17*G109/365</f>
        <v>1331.0636129804711</v>
      </c>
      <c r="H107" s="13">
        <f>H17*H109/365</f>
        <v>1397.3505809068988</v>
      </c>
      <c r="I107" s="13">
        <f>I17*I109/365</f>
        <v>1461.2095024543441</v>
      </c>
      <c r="J107" s="99"/>
      <c r="K107" s="109"/>
      <c r="L107" s="109"/>
      <c r="M107" s="105"/>
      <c r="N107" s="162"/>
    </row>
    <row r="108" spans="1:14">
      <c r="A108" s="3"/>
      <c r="B108" s="3"/>
      <c r="C108" s="3"/>
      <c r="D108" s="19"/>
      <c r="E108" s="19"/>
      <c r="F108" s="19"/>
      <c r="G108" s="19"/>
      <c r="H108" s="19"/>
      <c r="I108" s="19"/>
      <c r="J108" s="98"/>
      <c r="K108" s="108"/>
      <c r="L108" s="108"/>
      <c r="M108" s="105"/>
      <c r="N108" s="162"/>
    </row>
    <row r="109" spans="1:14">
      <c r="A109" s="3" t="s">
        <v>127</v>
      </c>
      <c r="B109" s="3"/>
      <c r="C109" s="3"/>
      <c r="D109" s="30">
        <v>64</v>
      </c>
      <c r="E109" s="30">
        <v>64</v>
      </c>
      <c r="F109" s="30">
        <v>64</v>
      </c>
      <c r="G109" s="30">
        <v>64</v>
      </c>
      <c r="H109" s="30">
        <v>64</v>
      </c>
      <c r="I109" s="30">
        <v>64</v>
      </c>
      <c r="J109" s="102"/>
      <c r="K109" s="113"/>
      <c r="L109" s="113"/>
      <c r="M109" s="105"/>
      <c r="N109" s="162"/>
    </row>
    <row r="110" spans="1:14">
      <c r="A110" s="3"/>
      <c r="B110" s="3"/>
      <c r="C110" s="3"/>
      <c r="D110" s="19"/>
      <c r="E110" s="19"/>
      <c r="F110" s="19"/>
      <c r="G110" s="19"/>
      <c r="H110" s="19"/>
      <c r="I110" s="19"/>
      <c r="J110" s="98"/>
      <c r="K110" s="108"/>
      <c r="L110" s="108"/>
      <c r="M110" s="105"/>
      <c r="N110" s="162"/>
    </row>
    <row r="111" spans="1:14">
      <c r="A111" s="3" t="s">
        <v>128</v>
      </c>
      <c r="B111" s="3"/>
      <c r="C111" s="3"/>
      <c r="D111" s="19"/>
      <c r="E111" s="19"/>
      <c r="F111" s="19"/>
      <c r="G111" s="19"/>
      <c r="H111" s="19"/>
      <c r="I111" s="19"/>
      <c r="J111" s="98"/>
      <c r="K111" s="108"/>
      <c r="L111" s="108"/>
      <c r="M111" s="105"/>
      <c r="N111" s="162"/>
    </row>
    <row r="112" spans="1:14">
      <c r="A112" s="3" t="s">
        <v>124</v>
      </c>
      <c r="B112" s="3"/>
      <c r="C112" s="3"/>
      <c r="D112" s="19">
        <f t="shared" ref="D112:I112" si="43">C114</f>
        <v>62</v>
      </c>
      <c r="E112" s="19">
        <f t="shared" si="43"/>
        <v>64.13630136986302</v>
      </c>
      <c r="F112" s="19">
        <f t="shared" si="43"/>
        <v>67.429700445205469</v>
      </c>
      <c r="G112" s="19">
        <f t="shared" si="43"/>
        <v>71.01037435210273</v>
      </c>
      <c r="H112" s="19">
        <f t="shared" si="43"/>
        <v>74.539562326906378</v>
      </c>
      <c r="I112" s="19">
        <f t="shared" si="43"/>
        <v>77.945962091212948</v>
      </c>
      <c r="J112" s="98"/>
      <c r="K112" s="108"/>
      <c r="L112" s="108"/>
      <c r="M112" s="105"/>
      <c r="N112" s="162"/>
    </row>
    <row r="113" spans="1:14">
      <c r="A113" s="3" t="s">
        <v>125</v>
      </c>
      <c r="B113" s="3"/>
      <c r="C113" s="3"/>
      <c r="D113" s="19">
        <f t="shared" ref="D113:I113" si="44">D114-D112</f>
        <v>2.1363013698630198</v>
      </c>
      <c r="E113" s="19">
        <f t="shared" si="44"/>
        <v>3.2933990753424496</v>
      </c>
      <c r="F113" s="19">
        <f t="shared" si="44"/>
        <v>3.5806739068972604</v>
      </c>
      <c r="G113" s="19">
        <f t="shared" si="44"/>
        <v>3.5291879748036479</v>
      </c>
      <c r="H113" s="19">
        <f t="shared" si="44"/>
        <v>3.4063997643065704</v>
      </c>
      <c r="I113" s="19">
        <f t="shared" si="44"/>
        <v>3.2424908889065307</v>
      </c>
      <c r="J113" s="98"/>
      <c r="K113" s="108"/>
      <c r="L113" s="108"/>
      <c r="M113" s="105"/>
      <c r="N113" s="162"/>
    </row>
    <row r="114" spans="1:14">
      <c r="A114" s="12" t="s">
        <v>126</v>
      </c>
      <c r="B114" s="12">
        <f>B53</f>
        <v>79</v>
      </c>
      <c r="C114" s="12">
        <f>C53</f>
        <v>62</v>
      </c>
      <c r="D114" s="13">
        <f>-D18*D116/365</f>
        <v>64.13630136986302</v>
      </c>
      <c r="E114" s="13">
        <f>-E18*E116/365</f>
        <v>67.429700445205469</v>
      </c>
      <c r="F114" s="13">
        <f>-F18*F116/365</f>
        <v>71.01037435210273</v>
      </c>
      <c r="G114" s="13">
        <f>-G18*G116/365</f>
        <v>74.539562326906378</v>
      </c>
      <c r="H114" s="13">
        <f>-H18*H116/365</f>
        <v>77.945962091212948</v>
      </c>
      <c r="I114" s="13">
        <f>-I18*I116/365</f>
        <v>81.188452980119479</v>
      </c>
      <c r="J114" s="99"/>
      <c r="K114" s="109"/>
      <c r="L114" s="109"/>
      <c r="M114" s="105"/>
      <c r="N114" s="162"/>
    </row>
    <row r="115" spans="1:14">
      <c r="A115" s="3"/>
      <c r="B115" s="3"/>
      <c r="C115" s="3"/>
      <c r="D115" s="19"/>
      <c r="E115" s="19"/>
      <c r="F115" s="19"/>
      <c r="G115" s="19"/>
      <c r="H115" s="19"/>
      <c r="I115" s="19"/>
      <c r="J115" s="98"/>
      <c r="K115" s="108"/>
      <c r="L115" s="108"/>
      <c r="M115" s="105"/>
      <c r="N115" s="162"/>
    </row>
    <row r="116" spans="1:14">
      <c r="A116" s="3" t="s">
        <v>129</v>
      </c>
      <c r="B116" s="3"/>
      <c r="C116" s="3"/>
      <c r="D116" s="30">
        <v>14</v>
      </c>
      <c r="E116" s="30">
        <v>14</v>
      </c>
      <c r="F116" s="30">
        <v>14</v>
      </c>
      <c r="G116" s="30">
        <v>14</v>
      </c>
      <c r="H116" s="30">
        <v>14</v>
      </c>
      <c r="I116" s="30">
        <v>14</v>
      </c>
      <c r="J116" s="102"/>
      <c r="K116" s="113"/>
      <c r="L116" s="113"/>
      <c r="M116" s="105"/>
      <c r="N116" s="162"/>
    </row>
    <row r="117" spans="1:14">
      <c r="A117" s="3"/>
      <c r="B117" s="3"/>
      <c r="C117" s="3"/>
      <c r="D117" s="19"/>
      <c r="E117" s="19"/>
      <c r="F117" s="19"/>
      <c r="G117" s="19"/>
      <c r="H117" s="19"/>
      <c r="I117" s="19"/>
      <c r="J117" s="98"/>
      <c r="K117" s="108"/>
      <c r="L117" s="108"/>
      <c r="M117" s="105"/>
      <c r="N117" s="162"/>
    </row>
    <row r="118" spans="1:14">
      <c r="A118" s="3" t="s">
        <v>130</v>
      </c>
      <c r="B118" s="3"/>
      <c r="C118" s="3"/>
      <c r="D118" s="19"/>
      <c r="E118" s="19"/>
      <c r="F118" s="19"/>
      <c r="G118" s="19"/>
      <c r="H118" s="19"/>
      <c r="I118" s="19"/>
      <c r="J118" s="98"/>
      <c r="K118" s="108"/>
      <c r="L118" s="108"/>
      <c r="M118" s="105"/>
      <c r="N118" s="162"/>
    </row>
    <row r="119" spans="1:14">
      <c r="A119" s="3" t="s">
        <v>124</v>
      </c>
      <c r="B119" s="3"/>
      <c r="C119" s="3"/>
      <c r="D119" s="19">
        <f t="shared" ref="D119:I119" si="45">C121</f>
        <v>1911</v>
      </c>
      <c r="E119" s="19">
        <f t="shared" si="45"/>
        <v>2025.84375</v>
      </c>
      <c r="F119" s="19">
        <f t="shared" si="45"/>
        <v>2146.381453125</v>
      </c>
      <c r="G119" s="19">
        <f t="shared" si="45"/>
        <v>2269.1544722437498</v>
      </c>
      <c r="H119" s="19">
        <f t="shared" si="45"/>
        <v>2391.2349828504634</v>
      </c>
      <c r="I119" s="19">
        <f t="shared" si="45"/>
        <v>2510.3184849964168</v>
      </c>
      <c r="J119" s="98"/>
      <c r="K119" s="108"/>
      <c r="L119" s="108"/>
      <c r="M119" s="105"/>
      <c r="N119" s="162"/>
    </row>
    <row r="120" spans="1:14">
      <c r="A120" s="3" t="s">
        <v>125</v>
      </c>
      <c r="B120" s="3"/>
      <c r="C120" s="3"/>
      <c r="D120" s="19">
        <f t="shared" ref="D120:I120" si="46">D121-D119</f>
        <v>114.84375</v>
      </c>
      <c r="E120" s="19">
        <f t="shared" si="46"/>
        <v>120.53770312500001</v>
      </c>
      <c r="F120" s="19">
        <f t="shared" si="46"/>
        <v>122.77301911874974</v>
      </c>
      <c r="G120" s="19">
        <f t="shared" si="46"/>
        <v>122.08051060671369</v>
      </c>
      <c r="H120" s="19">
        <f t="shared" si="46"/>
        <v>119.08350214595339</v>
      </c>
      <c r="I120" s="19">
        <f t="shared" si="46"/>
        <v>114.72155476433636</v>
      </c>
      <c r="J120" s="98"/>
      <c r="K120" s="108"/>
      <c r="L120" s="108"/>
      <c r="M120" s="105"/>
      <c r="N120" s="162"/>
    </row>
    <row r="121" spans="1:14">
      <c r="A121" s="12" t="s">
        <v>126</v>
      </c>
      <c r="B121" s="12">
        <f>B62</f>
        <v>2054</v>
      </c>
      <c r="C121" s="12">
        <f>C62</f>
        <v>1911</v>
      </c>
      <c r="D121" s="13">
        <f>D17*D123</f>
        <v>2025.84375</v>
      </c>
      <c r="E121" s="13">
        <f>E17*E123</f>
        <v>2146.381453125</v>
      </c>
      <c r="F121" s="13">
        <f>F17*F123</f>
        <v>2269.1544722437498</v>
      </c>
      <c r="G121" s="13">
        <f>G17*G123</f>
        <v>2391.2349828504634</v>
      </c>
      <c r="H121" s="13">
        <f>H17*H123</f>
        <v>2510.3184849964168</v>
      </c>
      <c r="I121" s="13">
        <f>I17*I123</f>
        <v>2625.0400397607532</v>
      </c>
      <c r="J121" s="99"/>
      <c r="K121" s="109"/>
      <c r="L121" s="109"/>
      <c r="M121" s="105"/>
      <c r="N121" s="162"/>
    </row>
    <row r="122" spans="1:14">
      <c r="A122" s="3"/>
      <c r="B122" s="3"/>
      <c r="C122" s="3"/>
      <c r="D122" s="19"/>
      <c r="E122" s="19"/>
      <c r="F122" s="19"/>
      <c r="G122" s="19"/>
      <c r="H122" s="19"/>
      <c r="I122" s="19"/>
      <c r="J122" s="98"/>
      <c r="K122" s="108"/>
      <c r="L122" s="108"/>
      <c r="M122" s="105"/>
      <c r="N122" s="162"/>
    </row>
    <row r="123" spans="1:14">
      <c r="A123" s="3" t="s">
        <v>131</v>
      </c>
      <c r="B123" s="3"/>
      <c r="C123" s="3"/>
      <c r="D123" s="16">
        <v>0.315</v>
      </c>
      <c r="E123" s="16">
        <v>0.315</v>
      </c>
      <c r="F123" s="16">
        <v>0.315</v>
      </c>
      <c r="G123" s="16">
        <v>0.315</v>
      </c>
      <c r="H123" s="16">
        <v>0.315</v>
      </c>
      <c r="I123" s="16">
        <v>0.315</v>
      </c>
      <c r="J123" s="100"/>
      <c r="K123" s="110"/>
      <c r="L123" s="110"/>
      <c r="M123" s="105"/>
      <c r="N123" s="162"/>
    </row>
    <row r="124" spans="1:14">
      <c r="A124" s="3"/>
      <c r="B124" s="3"/>
      <c r="C124" s="3"/>
      <c r="D124" s="19"/>
      <c r="E124" s="19"/>
      <c r="F124" s="19"/>
      <c r="G124" s="19"/>
      <c r="H124" s="19"/>
      <c r="I124" s="19"/>
      <c r="J124" s="98"/>
      <c r="K124" s="108"/>
      <c r="L124" s="108"/>
      <c r="M124" s="105"/>
      <c r="N124" s="162"/>
    </row>
    <row r="125" spans="1:14">
      <c r="A125" s="3" t="s">
        <v>132</v>
      </c>
      <c r="B125" s="3"/>
      <c r="C125" s="3"/>
      <c r="D125" s="19"/>
      <c r="E125" s="19"/>
      <c r="F125" s="19"/>
      <c r="G125" s="19"/>
      <c r="H125" s="19"/>
      <c r="I125" s="19"/>
      <c r="J125" s="98"/>
      <c r="K125" s="108"/>
      <c r="L125" s="108"/>
      <c r="M125" s="105"/>
      <c r="N125" s="162"/>
    </row>
    <row r="126" spans="1:14">
      <c r="A126" s="3"/>
      <c r="B126" s="3">
        <v>2024</v>
      </c>
      <c r="C126" s="3">
        <v>2025</v>
      </c>
      <c r="D126" s="19">
        <v>2026</v>
      </c>
      <c r="E126" s="19">
        <v>2027</v>
      </c>
      <c r="F126" s="19">
        <v>2028</v>
      </c>
      <c r="G126" s="19">
        <v>2029</v>
      </c>
      <c r="H126" s="19">
        <v>2030</v>
      </c>
      <c r="I126" s="19">
        <v>2031</v>
      </c>
      <c r="J126" s="98"/>
      <c r="K126" s="108"/>
      <c r="L126" s="108"/>
      <c r="M126" s="105"/>
      <c r="N126" s="162"/>
    </row>
    <row r="127" spans="1:14">
      <c r="A127" s="3" t="s">
        <v>124</v>
      </c>
      <c r="B127" s="3"/>
      <c r="C127" s="3"/>
      <c r="D127" s="19">
        <f t="shared" ref="D127:I127" si="47">C130</f>
        <v>68</v>
      </c>
      <c r="E127" s="19">
        <f t="shared" si="47"/>
        <v>75.897500000000008</v>
      </c>
      <c r="F127" s="19">
        <f t="shared" si="47"/>
        <v>82.564338500000005</v>
      </c>
      <c r="G127" s="19">
        <f t="shared" si="47"/>
        <v>88.338576512900005</v>
      </c>
      <c r="H127" s="19">
        <f t="shared" si="47"/>
        <v>93.416487776991687</v>
      </c>
      <c r="I127" s="19">
        <f t="shared" si="47"/>
        <v>97.906142773371585</v>
      </c>
      <c r="J127" s="98"/>
      <c r="K127" s="108"/>
      <c r="L127" s="108"/>
      <c r="M127" s="105"/>
      <c r="N127" s="162"/>
    </row>
    <row r="128" spans="1:14">
      <c r="A128" s="3" t="s">
        <v>133</v>
      </c>
      <c r="B128" s="3"/>
      <c r="C128" s="3"/>
      <c r="D128" s="19">
        <f t="shared" ref="D128:I128" si="48">-D88*8%</f>
        <v>28.297499999999999</v>
      </c>
      <c r="E128" s="19">
        <f t="shared" si="48"/>
        <v>29.436088499999997</v>
      </c>
      <c r="F128" s="19">
        <f t="shared" si="48"/>
        <v>30.543539562899998</v>
      </c>
      <c r="G128" s="19">
        <f t="shared" si="48"/>
        <v>31.579484217961678</v>
      </c>
      <c r="H128" s="19">
        <f t="shared" si="48"/>
        <v>32.514601329477401</v>
      </c>
      <c r="I128" s="19">
        <f t="shared" si="48"/>
        <v>33.333841774739724</v>
      </c>
      <c r="J128" s="98"/>
      <c r="K128" s="108"/>
      <c r="L128" s="108"/>
      <c r="M128" s="105"/>
      <c r="N128" s="162"/>
    </row>
    <row r="129" spans="1:14">
      <c r="A129" s="3" t="s">
        <v>134</v>
      </c>
      <c r="B129" s="3"/>
      <c r="C129" s="3"/>
      <c r="D129" s="19">
        <f t="shared" ref="D129:I129" si="49">-D127*30%</f>
        <v>-20.399999999999999</v>
      </c>
      <c r="E129" s="19">
        <f t="shared" si="49"/>
        <v>-22.769250000000003</v>
      </c>
      <c r="F129" s="19">
        <f t="shared" si="49"/>
        <v>-24.769301550000002</v>
      </c>
      <c r="G129" s="19">
        <f t="shared" si="49"/>
        <v>-26.501572953869999</v>
      </c>
      <c r="H129" s="19">
        <f t="shared" si="49"/>
        <v>-28.024946333097507</v>
      </c>
      <c r="I129" s="19">
        <f t="shared" si="49"/>
        <v>-29.371842832011474</v>
      </c>
      <c r="J129" s="98"/>
      <c r="K129" s="108"/>
      <c r="L129" s="108"/>
      <c r="M129" s="105"/>
      <c r="N129" s="162"/>
    </row>
    <row r="130" spans="1:14">
      <c r="A130" s="12" t="s">
        <v>126</v>
      </c>
      <c r="B130" s="12">
        <f>B55</f>
        <v>79</v>
      </c>
      <c r="C130" s="12">
        <f>C55</f>
        <v>68</v>
      </c>
      <c r="D130" s="13">
        <f t="shared" ref="D130:I130" si="50">SUM(D127:D129)</f>
        <v>75.897500000000008</v>
      </c>
      <c r="E130" s="13">
        <f t="shared" si="50"/>
        <v>82.564338500000005</v>
      </c>
      <c r="F130" s="13">
        <f t="shared" si="50"/>
        <v>88.338576512900005</v>
      </c>
      <c r="G130" s="13">
        <f t="shared" si="50"/>
        <v>93.416487776991687</v>
      </c>
      <c r="H130" s="13">
        <f t="shared" si="50"/>
        <v>97.906142773371585</v>
      </c>
      <c r="I130" s="13">
        <f t="shared" si="50"/>
        <v>101.86814171609981</v>
      </c>
      <c r="J130" s="99"/>
      <c r="K130" s="109"/>
      <c r="L130" s="109"/>
      <c r="M130" s="105"/>
      <c r="N130" s="162"/>
    </row>
    <row r="131" spans="1:14">
      <c r="A131" s="3"/>
      <c r="B131" s="3"/>
      <c r="C131" s="3"/>
      <c r="D131" s="19"/>
      <c r="E131" s="19"/>
      <c r="F131" s="19"/>
      <c r="G131" s="19"/>
      <c r="H131" s="19"/>
      <c r="I131" s="19"/>
      <c r="J131" s="98"/>
      <c r="K131" s="108"/>
      <c r="L131" s="108"/>
      <c r="M131" s="105"/>
      <c r="N131" s="162"/>
    </row>
    <row r="132" spans="1:14">
      <c r="A132" s="3" t="s">
        <v>135</v>
      </c>
      <c r="B132" s="3"/>
      <c r="C132" s="3"/>
      <c r="D132" s="19"/>
      <c r="E132" s="19"/>
      <c r="F132" s="19"/>
      <c r="G132" s="19"/>
      <c r="H132" s="19"/>
      <c r="I132" s="19"/>
      <c r="J132" s="98"/>
      <c r="K132" s="108"/>
      <c r="L132" s="108"/>
      <c r="M132" s="105"/>
      <c r="N132" s="162"/>
    </row>
    <row r="133" spans="1:14">
      <c r="A133" s="3" t="s">
        <v>136</v>
      </c>
      <c r="B133" s="3"/>
      <c r="C133" s="3"/>
      <c r="D133" s="19">
        <f t="shared" ref="D133:I133" si="51">D135-ABS(D129)</f>
        <v>314.02500000000003</v>
      </c>
      <c r="E133" s="19">
        <f t="shared" si="51"/>
        <v>331.55403749999994</v>
      </c>
      <c r="F133" s="19">
        <f t="shared" si="51"/>
        <v>342.61761300374991</v>
      </c>
      <c r="G133" s="19">
        <f t="shared" si="51"/>
        <v>360.65075760287169</v>
      </c>
      <c r="H133" s="19">
        <f t="shared" si="51"/>
        <v>370.43830525363541</v>
      </c>
      <c r="I133" s="19">
        <f t="shared" si="51"/>
        <v>387.30117935223512</v>
      </c>
      <c r="J133" s="98"/>
      <c r="K133" s="108"/>
      <c r="L133" s="108"/>
      <c r="M133" s="105"/>
      <c r="N133" s="162"/>
    </row>
    <row r="134" spans="1:14">
      <c r="A134" s="3" t="s">
        <v>137</v>
      </c>
      <c r="B134" s="3"/>
      <c r="C134" s="3"/>
      <c r="D134" s="16">
        <v>5.1999999999999998E-2</v>
      </c>
      <c r="E134" s="16">
        <v>5.1999999999999998E-2</v>
      </c>
      <c r="F134" s="16">
        <v>5.0999999999999997E-2</v>
      </c>
      <c r="G134" s="16">
        <v>5.0999999999999997E-2</v>
      </c>
      <c r="H134" s="16">
        <v>0.05</v>
      </c>
      <c r="I134" s="16">
        <v>0.05</v>
      </c>
      <c r="J134" s="100"/>
      <c r="K134" s="110"/>
      <c r="L134" s="110"/>
      <c r="M134" s="105"/>
      <c r="N134" s="162"/>
    </row>
    <row r="135" spans="1:14">
      <c r="A135" s="12" t="s">
        <v>138</v>
      </c>
      <c r="B135" s="12">
        <f>B32</f>
        <v>479</v>
      </c>
      <c r="C135" s="12">
        <f>C32</f>
        <v>477</v>
      </c>
      <c r="D135" s="13">
        <f>D17*D134</f>
        <v>334.42500000000001</v>
      </c>
      <c r="E135" s="13">
        <f>E17*E134</f>
        <v>354.32328749999994</v>
      </c>
      <c r="F135" s="13">
        <f>F17*F134</f>
        <v>367.38691455374993</v>
      </c>
      <c r="G135" s="13">
        <f>G17*G134</f>
        <v>387.15233055674167</v>
      </c>
      <c r="H135" s="13">
        <f>H17*H134</f>
        <v>398.46325158673289</v>
      </c>
      <c r="I135" s="13">
        <f>I17*I134</f>
        <v>416.67302218424658</v>
      </c>
      <c r="J135" s="99"/>
      <c r="K135" s="109"/>
      <c r="L135" s="109"/>
      <c r="M135" s="105"/>
      <c r="N135" s="162"/>
    </row>
    <row r="136" spans="1:14">
      <c r="A136" s="3"/>
      <c r="B136" s="3"/>
      <c r="C136" s="3"/>
      <c r="D136" s="19"/>
      <c r="E136" s="19"/>
      <c r="F136" s="19"/>
      <c r="G136" s="19"/>
      <c r="H136" s="19"/>
      <c r="I136" s="19"/>
      <c r="J136" s="98"/>
      <c r="K136" s="108"/>
      <c r="L136" s="108"/>
      <c r="M136" s="105"/>
      <c r="N136" s="162"/>
    </row>
    <row r="137" spans="1:14">
      <c r="A137" s="3" t="s">
        <v>139</v>
      </c>
      <c r="B137" s="3"/>
      <c r="C137" s="3"/>
      <c r="D137" s="19"/>
      <c r="E137" s="19"/>
      <c r="F137" s="19"/>
      <c r="G137" s="19"/>
      <c r="H137" s="19"/>
      <c r="I137" s="19"/>
      <c r="J137" s="98"/>
      <c r="K137" s="108"/>
      <c r="L137" s="108"/>
      <c r="M137" s="105"/>
      <c r="N137" s="162"/>
    </row>
    <row r="138" spans="1:14">
      <c r="A138" s="3" t="s">
        <v>124</v>
      </c>
      <c r="B138" s="3"/>
      <c r="C138" s="3"/>
      <c r="D138" s="19">
        <f t="shared" ref="D138:I138" si="52">C141</f>
        <v>6612</v>
      </c>
      <c r="E138" s="19">
        <f t="shared" si="52"/>
        <v>6578.3775000000005</v>
      </c>
      <c r="F138" s="19">
        <f t="shared" si="52"/>
        <v>6513.7924318125006</v>
      </c>
      <c r="G138" s="19">
        <f t="shared" si="52"/>
        <v>6453.9907063652254</v>
      </c>
      <c r="H138" s="19">
        <f t="shared" si="52"/>
        <v>6391.9786288427895</v>
      </c>
      <c r="I138" s="19">
        <f t="shared" si="52"/>
        <v>6335.6887511401346</v>
      </c>
      <c r="J138" s="98"/>
      <c r="K138" s="108"/>
      <c r="L138" s="108"/>
      <c r="M138" s="105"/>
      <c r="N138" s="162"/>
    </row>
    <row r="139" spans="1:14">
      <c r="A139" s="3" t="s">
        <v>140</v>
      </c>
      <c r="B139" s="3"/>
      <c r="C139" s="3"/>
      <c r="D139" s="19">
        <f>ABS(D88)*92%+D17*0.02*90%</f>
        <v>441.18374999999997</v>
      </c>
      <c r="E139" s="19">
        <f>ABS(E88)*92%+E17*0.015*90%</f>
        <v>430.50279431249999</v>
      </c>
      <c r="F139" s="19">
        <f>ABS(F88)*92%+F17*0.015*90%</f>
        <v>448.50018235522498</v>
      </c>
      <c r="G139" s="19">
        <f>ABS(G88)*92%+G17*0.015*90%</f>
        <v>465.64556777157918</v>
      </c>
      <c r="H139" s="19">
        <f>ABS(H88)*92%+H17*0.015*90%</f>
        <v>481.502993217408</v>
      </c>
      <c r="I139" s="19">
        <f>ABS(I88)*92%+I17*0.015*90%</f>
        <v>495.84089639925344</v>
      </c>
      <c r="J139" s="98"/>
      <c r="K139" s="108"/>
      <c r="L139" s="108"/>
      <c r="M139" s="105"/>
      <c r="N139" s="162"/>
    </row>
    <row r="140" spans="1:14">
      <c r="A140" s="3" t="s">
        <v>141</v>
      </c>
      <c r="B140" s="3"/>
      <c r="C140" s="3"/>
      <c r="D140" s="19">
        <f>-(D133+ABS(D23))</f>
        <v>-474.80625000000003</v>
      </c>
      <c r="E140" s="19">
        <f>-(E133+ABS(E23))</f>
        <v>-495.08786249999991</v>
      </c>
      <c r="F140" s="19">
        <f>-(F133+ABS(F23))</f>
        <v>-508.30190780249984</v>
      </c>
      <c r="G140" s="19">
        <f>-(G133+ABS(G23))</f>
        <v>-527.6576452940152</v>
      </c>
      <c r="H140" s="19">
        <f>-(H133+ABS(H23))</f>
        <v>-537.79287092006325</v>
      </c>
      <c r="I140" s="19">
        <f>-(I133+ABS(I23))</f>
        <v>-553.97038822593379</v>
      </c>
      <c r="J140" s="98"/>
      <c r="K140" s="108"/>
      <c r="L140" s="108"/>
      <c r="M140" s="105"/>
      <c r="N140" s="162"/>
    </row>
    <row r="141" spans="1:14">
      <c r="A141" s="12" t="s">
        <v>126</v>
      </c>
      <c r="B141" s="12">
        <v>6445</v>
      </c>
      <c r="C141" s="12">
        <v>6612</v>
      </c>
      <c r="D141" s="13">
        <f t="shared" ref="D141:I141" si="53">SUM(D138:D140)</f>
        <v>6578.3775000000005</v>
      </c>
      <c r="E141" s="13">
        <f t="shared" si="53"/>
        <v>6513.7924318125006</v>
      </c>
      <c r="F141" s="13">
        <f t="shared" si="53"/>
        <v>6453.9907063652254</v>
      </c>
      <c r="G141" s="13">
        <f t="shared" si="53"/>
        <v>6391.9786288427895</v>
      </c>
      <c r="H141" s="13">
        <f t="shared" si="53"/>
        <v>6335.6887511401346</v>
      </c>
      <c r="I141" s="13">
        <f t="shared" si="53"/>
        <v>6277.5592593134543</v>
      </c>
      <c r="J141" s="99"/>
      <c r="K141" s="109"/>
      <c r="L141" s="109"/>
      <c r="M141" s="105"/>
      <c r="N141" s="162"/>
    </row>
    <row r="142" spans="1:14">
      <c r="A142" s="3"/>
      <c r="B142" s="3"/>
      <c r="C142" s="3"/>
      <c r="D142" s="19"/>
      <c r="E142" s="19"/>
      <c r="F142" s="19"/>
      <c r="G142" s="19"/>
      <c r="H142" s="19"/>
      <c r="I142" s="19"/>
      <c r="J142" s="98"/>
      <c r="K142" s="108"/>
      <c r="L142" s="108"/>
      <c r="M142" s="105"/>
      <c r="N142" s="162"/>
    </row>
    <row r="143" spans="1:14">
      <c r="A143" s="3" t="s">
        <v>142</v>
      </c>
      <c r="B143" s="3"/>
      <c r="C143" s="3"/>
      <c r="D143" s="19"/>
      <c r="E143" s="19"/>
      <c r="F143" s="19"/>
      <c r="G143" s="19"/>
      <c r="H143" s="19"/>
      <c r="I143" s="19"/>
      <c r="J143" s="98"/>
      <c r="K143" s="108"/>
      <c r="L143" s="108"/>
      <c r="M143" s="105"/>
      <c r="N143" s="162"/>
    </row>
    <row r="144" spans="1:14">
      <c r="A144" s="3" t="s">
        <v>124</v>
      </c>
      <c r="B144" s="3"/>
      <c r="C144" s="3"/>
      <c r="D144" s="19">
        <f t="shared" ref="D144:I144" si="54">C147</f>
        <v>1171</v>
      </c>
      <c r="E144" s="19">
        <f t="shared" si="54"/>
        <v>1856.9459301250001</v>
      </c>
      <c r="F144" s="19">
        <f t="shared" si="54"/>
        <v>2607.6215720355676</v>
      </c>
      <c r="G144" s="19">
        <f t="shared" si="54"/>
        <v>3426.5002148354929</v>
      </c>
      <c r="H144" s="19">
        <f t="shared" si="54"/>
        <v>4312.8810968913704</v>
      </c>
      <c r="I144" s="19">
        <f t="shared" si="54"/>
        <v>5265.8898730627907</v>
      </c>
      <c r="J144" s="98"/>
      <c r="K144" s="108"/>
      <c r="L144" s="108"/>
      <c r="M144" s="105"/>
      <c r="N144" s="162"/>
    </row>
    <row r="145" spans="1:14">
      <c r="A145" s="3" t="s">
        <v>143</v>
      </c>
      <c r="B145" s="3"/>
      <c r="C145" s="3"/>
      <c r="D145" s="19">
        <f>D30</f>
        <v>1203.4139125000002</v>
      </c>
      <c r="E145" s="19">
        <f>E30</f>
        <v>1316.9748103694174</v>
      </c>
      <c r="F145" s="19">
        <f>F30</f>
        <v>1436.6291978946053</v>
      </c>
      <c r="G145" s="19">
        <f>G30</f>
        <v>1555.0541790453983</v>
      </c>
      <c r="H145" s="19">
        <f>H30</f>
        <v>1671.9452213533687</v>
      </c>
      <c r="I145" s="19">
        <f>I30</f>
        <v>1781.2160623857462</v>
      </c>
      <c r="J145" s="98"/>
      <c r="K145" s="108"/>
      <c r="L145" s="108"/>
      <c r="M145" s="105"/>
      <c r="N145" s="162"/>
    </row>
    <row r="146" spans="1:14">
      <c r="A146" s="3" t="s">
        <v>144</v>
      </c>
      <c r="B146" s="3"/>
      <c r="C146" s="3"/>
      <c r="D146" s="19">
        <f t="shared" ref="D146:I146" si="55">D95</f>
        <v>-517.46798237500002</v>
      </c>
      <c r="E146" s="19">
        <f t="shared" si="55"/>
        <v>-566.29916845884941</v>
      </c>
      <c r="F146" s="19">
        <f t="shared" si="55"/>
        <v>-617.75055509468029</v>
      </c>
      <c r="G146" s="19">
        <f t="shared" si="55"/>
        <v>-668.6732969895213</v>
      </c>
      <c r="H146" s="19">
        <f t="shared" si="55"/>
        <v>-718.93644518194856</v>
      </c>
      <c r="I146" s="19">
        <f t="shared" si="55"/>
        <v>-765.92290682587088</v>
      </c>
      <c r="J146" s="98"/>
      <c r="K146" s="108"/>
      <c r="L146" s="108"/>
      <c r="M146" s="105"/>
      <c r="N146" s="162"/>
    </row>
    <row r="147" spans="1:14">
      <c r="A147" s="12" t="s">
        <v>126</v>
      </c>
      <c r="B147" s="12">
        <f>B70</f>
        <v>1359</v>
      </c>
      <c r="C147" s="12">
        <f>C70</f>
        <v>1171</v>
      </c>
      <c r="D147" s="13">
        <f t="shared" ref="D147:I147" si="56">SUM(D144:D146)</f>
        <v>1856.9459301250001</v>
      </c>
      <c r="E147" s="13">
        <f t="shared" si="56"/>
        <v>2607.6215720355676</v>
      </c>
      <c r="F147" s="13">
        <f t="shared" si="56"/>
        <v>3426.5002148354929</v>
      </c>
      <c r="G147" s="13">
        <f t="shared" si="56"/>
        <v>4312.8810968913704</v>
      </c>
      <c r="H147" s="13">
        <f t="shared" si="56"/>
        <v>5265.8898730627907</v>
      </c>
      <c r="I147" s="13">
        <f t="shared" si="56"/>
        <v>6281.1830286226659</v>
      </c>
      <c r="J147" s="99"/>
      <c r="K147" s="109"/>
      <c r="L147" s="109"/>
      <c r="M147" s="105"/>
      <c r="N147" s="162"/>
    </row>
    <row r="148" spans="1:14">
      <c r="A148" s="3"/>
      <c r="B148" s="3"/>
      <c r="C148" s="3"/>
      <c r="D148" s="19"/>
      <c r="E148" s="19"/>
      <c r="F148" s="19"/>
      <c r="G148" s="19"/>
      <c r="H148" s="19"/>
      <c r="I148" s="19"/>
      <c r="J148" s="98"/>
      <c r="K148" s="108"/>
      <c r="L148" s="108"/>
      <c r="M148" s="105"/>
      <c r="N148" s="162"/>
    </row>
    <row r="149" spans="1:14">
      <c r="A149" s="3" t="s">
        <v>145</v>
      </c>
      <c r="B149" s="3"/>
      <c r="C149" s="3"/>
      <c r="D149" s="19"/>
      <c r="E149" s="19"/>
      <c r="F149" s="19"/>
      <c r="G149" s="19"/>
      <c r="H149" s="19"/>
      <c r="I149" s="19"/>
      <c r="J149" s="98"/>
      <c r="K149" s="108"/>
      <c r="L149" s="108"/>
      <c r="M149" s="105"/>
      <c r="N149" s="162"/>
    </row>
    <row r="150" spans="1:14">
      <c r="A150" s="3" t="s">
        <v>124</v>
      </c>
      <c r="B150" s="3"/>
      <c r="C150" s="3"/>
      <c r="D150" s="19">
        <f t="shared" ref="D150:I150" si="57">C154</f>
        <v>-401</v>
      </c>
      <c r="E150" s="19">
        <f t="shared" si="57"/>
        <v>-787.88052565068506</v>
      </c>
      <c r="F150" s="19">
        <f t="shared" si="57"/>
        <v>-1173.8430898757661</v>
      </c>
      <c r="G150" s="19">
        <f t="shared" si="57"/>
        <v>-1589.2716237813588</v>
      </c>
      <c r="H150" s="19">
        <f t="shared" si="57"/>
        <v>-2028.4383873480028</v>
      </c>
      <c r="I150" s="19">
        <f t="shared" si="57"/>
        <v>-2494.4892363347799</v>
      </c>
      <c r="J150" s="98"/>
      <c r="K150" s="108"/>
      <c r="L150" s="108"/>
      <c r="M150" s="105"/>
      <c r="N150" s="162"/>
    </row>
    <row r="151" spans="1:14">
      <c r="A151" s="3" t="s">
        <v>146</v>
      </c>
      <c r="B151" s="3"/>
      <c r="C151" s="3"/>
      <c r="D151" s="19">
        <f t="shared" ref="D151:I151" si="58">D81</f>
        <v>27.011249999999997</v>
      </c>
      <c r="E151" s="19">
        <f t="shared" si="58"/>
        <v>28.618419374999995</v>
      </c>
      <c r="F151" s="19">
        <f t="shared" si="58"/>
        <v>30.255392963249992</v>
      </c>
      <c r="G151" s="19">
        <f t="shared" si="58"/>
        <v>31.883133104672847</v>
      </c>
      <c r="H151" s="19">
        <f t="shared" si="58"/>
        <v>33.470913133285556</v>
      </c>
      <c r="I151" s="19">
        <f t="shared" si="58"/>
        <v>35.000533863476711</v>
      </c>
      <c r="J151" s="98"/>
      <c r="K151" s="108"/>
      <c r="L151" s="108"/>
      <c r="M151" s="105"/>
      <c r="N151" s="162"/>
    </row>
    <row r="152" spans="1:14">
      <c r="A152" s="3" t="s">
        <v>147</v>
      </c>
      <c r="B152" s="3"/>
      <c r="C152" s="3"/>
      <c r="D152" s="19">
        <f t="shared" ref="D152:I152" si="59">D94</f>
        <v>-273.87052565068478</v>
      </c>
      <c r="E152" s="19">
        <f t="shared" si="59"/>
        <v>-305.41136272508231</v>
      </c>
      <c r="F152" s="19">
        <f t="shared" si="59"/>
        <v>-328.99586003049239</v>
      </c>
      <c r="G152" s="19">
        <f t="shared" si="59"/>
        <v>-354.66825325094123</v>
      </c>
      <c r="H152" s="19">
        <f t="shared" si="59"/>
        <v>-376.50317660868581</v>
      </c>
      <c r="I152" s="19">
        <f t="shared" si="59"/>
        <v>-399.68945338268929</v>
      </c>
      <c r="J152" s="98"/>
      <c r="K152" s="108"/>
      <c r="L152" s="108"/>
      <c r="M152" s="105"/>
      <c r="N152" s="162"/>
    </row>
    <row r="153" spans="1:14">
      <c r="A153" s="3" t="s">
        <v>148</v>
      </c>
      <c r="B153" s="3"/>
      <c r="C153" s="3"/>
      <c r="D153" s="19">
        <f t="shared" ref="D153:I153" si="60">D154-SUM(D150:D152)</f>
        <v>-140.02125000000024</v>
      </c>
      <c r="E153" s="19">
        <f t="shared" si="60"/>
        <v>-109.1696208749986</v>
      </c>
      <c r="F153" s="19">
        <f t="shared" si="60"/>
        <v>-116.68806683835032</v>
      </c>
      <c r="G153" s="19">
        <f t="shared" si="60"/>
        <v>-116.38164342037567</v>
      </c>
      <c r="H153" s="19">
        <f t="shared" si="60"/>
        <v>-123.01858551137684</v>
      </c>
      <c r="I153" s="19">
        <f t="shared" si="60"/>
        <v>-121.03990771254394</v>
      </c>
      <c r="J153" s="98"/>
      <c r="K153" s="108"/>
      <c r="L153" s="108"/>
      <c r="M153" s="105"/>
      <c r="N153" s="162"/>
    </row>
    <row r="154" spans="1:14">
      <c r="A154" s="12" t="s">
        <v>126</v>
      </c>
      <c r="B154" s="12">
        <f t="shared" ref="B154:I154" si="61">B71</f>
        <v>157</v>
      </c>
      <c r="C154" s="12">
        <f t="shared" si="61"/>
        <v>-401</v>
      </c>
      <c r="D154" s="13">
        <f t="shared" si="61"/>
        <v>-787.88052565068506</v>
      </c>
      <c r="E154" s="13">
        <f t="shared" si="61"/>
        <v>-1173.8430898757661</v>
      </c>
      <c r="F154" s="13">
        <f t="shared" si="61"/>
        <v>-1589.2716237813588</v>
      </c>
      <c r="G154" s="13">
        <f t="shared" si="61"/>
        <v>-2028.4383873480028</v>
      </c>
      <c r="H154" s="13">
        <f t="shared" si="61"/>
        <v>-2494.4892363347799</v>
      </c>
      <c r="I154" s="13">
        <f t="shared" si="61"/>
        <v>-2980.2180635665363</v>
      </c>
      <c r="J154" s="99"/>
      <c r="K154" s="109"/>
      <c r="L154" s="109"/>
      <c r="M154" s="105"/>
      <c r="N154" s="162"/>
    </row>
    <row r="155" spans="1:14">
      <c r="A155" s="3"/>
      <c r="B155" s="3"/>
      <c r="C155" s="3"/>
      <c r="D155" s="19"/>
      <c r="E155" s="19"/>
      <c r="F155" s="19"/>
      <c r="G155" s="19"/>
      <c r="H155" s="19"/>
      <c r="I155" s="19"/>
      <c r="J155" s="98"/>
      <c r="K155" s="108"/>
      <c r="L155" s="108"/>
      <c r="M155" s="105"/>
      <c r="N155" s="162"/>
    </row>
    <row r="156" spans="1:14">
      <c r="A156" s="3" t="s">
        <v>149</v>
      </c>
      <c r="B156" s="3"/>
      <c r="C156" s="3"/>
      <c r="D156" s="19"/>
      <c r="E156" s="19"/>
      <c r="F156" s="19"/>
      <c r="G156" s="19"/>
      <c r="H156" s="19"/>
      <c r="I156" s="19"/>
      <c r="J156" s="98"/>
      <c r="K156" s="108"/>
      <c r="L156" s="108"/>
      <c r="M156" s="105"/>
      <c r="N156" s="162"/>
    </row>
    <row r="157" spans="1:14">
      <c r="A157" s="3" t="s">
        <v>150</v>
      </c>
      <c r="B157" s="3"/>
      <c r="C157" s="3"/>
      <c r="D157" s="19">
        <f t="shared" ref="D157:I157" si="62">C159</f>
        <v>721</v>
      </c>
      <c r="E157" s="19">
        <f t="shared" si="62"/>
        <v>721</v>
      </c>
      <c r="F157" s="19">
        <f t="shared" si="62"/>
        <v>721</v>
      </c>
      <c r="G157" s="19">
        <f t="shared" si="62"/>
        <v>721</v>
      </c>
      <c r="H157" s="19">
        <f t="shared" si="62"/>
        <v>721</v>
      </c>
      <c r="I157" s="19">
        <f t="shared" si="62"/>
        <v>721</v>
      </c>
      <c r="J157" s="98"/>
      <c r="K157" s="108"/>
      <c r="L157" s="108"/>
      <c r="M157" s="105"/>
      <c r="N157" s="162"/>
    </row>
    <row r="158" spans="1:14">
      <c r="A158" s="3" t="s">
        <v>151</v>
      </c>
      <c r="B158" s="3"/>
      <c r="C158" s="3"/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98"/>
      <c r="K158" s="108"/>
      <c r="L158" s="108"/>
      <c r="M158" s="105"/>
      <c r="N158" s="162"/>
    </row>
    <row r="159" spans="1:14">
      <c r="A159" s="12" t="s">
        <v>152</v>
      </c>
      <c r="B159" s="12">
        <f>B63</f>
        <v>359</v>
      </c>
      <c r="C159" s="12">
        <f>C63</f>
        <v>721</v>
      </c>
      <c r="D159" s="13">
        <f t="shared" ref="D159:I159" si="63">SUM(D157:D158)</f>
        <v>721</v>
      </c>
      <c r="E159" s="13">
        <f t="shared" si="63"/>
        <v>721</v>
      </c>
      <c r="F159" s="13">
        <f t="shared" si="63"/>
        <v>721</v>
      </c>
      <c r="G159" s="13">
        <f t="shared" si="63"/>
        <v>721</v>
      </c>
      <c r="H159" s="13">
        <f t="shared" si="63"/>
        <v>721</v>
      </c>
      <c r="I159" s="13">
        <f t="shared" si="63"/>
        <v>721</v>
      </c>
      <c r="J159" s="99"/>
      <c r="K159" s="109"/>
      <c r="L159" s="109"/>
      <c r="M159" s="105"/>
      <c r="N159" s="162"/>
    </row>
    <row r="160" spans="1:14">
      <c r="A160" s="3" t="s">
        <v>153</v>
      </c>
      <c r="B160" s="3"/>
      <c r="C160" s="3"/>
      <c r="D160" s="19">
        <f t="shared" ref="D160:I160" si="64">C162</f>
        <v>4033</v>
      </c>
      <c r="E160" s="19">
        <f t="shared" si="64"/>
        <v>4033</v>
      </c>
      <c r="F160" s="19">
        <f t="shared" si="64"/>
        <v>4033</v>
      </c>
      <c r="G160" s="19">
        <f t="shared" si="64"/>
        <v>4033</v>
      </c>
      <c r="H160" s="19">
        <f t="shared" si="64"/>
        <v>4033</v>
      </c>
      <c r="I160" s="19">
        <f t="shared" si="64"/>
        <v>4033</v>
      </c>
      <c r="J160" s="98"/>
      <c r="K160" s="108"/>
      <c r="L160" s="108"/>
      <c r="M160" s="105"/>
      <c r="N160" s="162"/>
    </row>
    <row r="161" spans="1:14">
      <c r="A161" s="3" t="s">
        <v>151</v>
      </c>
      <c r="B161" s="3"/>
      <c r="C161" s="3"/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98"/>
      <c r="K161" s="108"/>
      <c r="L161" s="108"/>
      <c r="M161" s="105"/>
      <c r="N161" s="162"/>
    </row>
    <row r="162" spans="1:14">
      <c r="A162" s="12" t="s">
        <v>154</v>
      </c>
      <c r="B162" s="12">
        <f>B64</f>
        <v>3484</v>
      </c>
      <c r="C162" s="12">
        <f>C64</f>
        <v>4033</v>
      </c>
      <c r="D162" s="13">
        <f t="shared" ref="D162:I162" si="65">SUM(D160:D161)</f>
        <v>4033</v>
      </c>
      <c r="E162" s="13">
        <f t="shared" si="65"/>
        <v>4033</v>
      </c>
      <c r="F162" s="13">
        <f t="shared" si="65"/>
        <v>4033</v>
      </c>
      <c r="G162" s="13">
        <f t="shared" si="65"/>
        <v>4033</v>
      </c>
      <c r="H162" s="13">
        <f t="shared" si="65"/>
        <v>4033</v>
      </c>
      <c r="I162" s="13">
        <f t="shared" si="65"/>
        <v>4033</v>
      </c>
      <c r="J162" s="99"/>
      <c r="K162" s="109"/>
      <c r="L162" s="109"/>
      <c r="M162" s="105"/>
      <c r="N162" s="162"/>
    </row>
    <row r="163" spans="1:14">
      <c r="A163" s="3"/>
      <c r="B163" s="3"/>
      <c r="C163" s="3"/>
      <c r="D163" s="19"/>
      <c r="E163" s="19"/>
      <c r="F163" s="19"/>
      <c r="G163" s="19"/>
      <c r="H163" s="19"/>
      <c r="I163" s="19"/>
      <c r="J163" s="98"/>
      <c r="K163" s="108"/>
      <c r="L163" s="108"/>
      <c r="M163" s="105"/>
      <c r="N163" s="162"/>
    </row>
    <row r="164" spans="1:14">
      <c r="A164" s="3" t="s">
        <v>155</v>
      </c>
      <c r="B164" s="3"/>
      <c r="C164" s="3"/>
      <c r="D164" s="19"/>
      <c r="E164" s="19"/>
      <c r="F164" s="19"/>
      <c r="G164" s="19"/>
      <c r="H164" s="19"/>
      <c r="I164" s="19"/>
      <c r="J164" s="98"/>
      <c r="K164" s="108"/>
      <c r="L164" s="108"/>
      <c r="M164" s="105"/>
      <c r="N164" s="162"/>
    </row>
    <row r="165" spans="1:14">
      <c r="A165" s="3" t="s">
        <v>156</v>
      </c>
      <c r="B165" s="3"/>
      <c r="C165" s="3"/>
      <c r="D165" s="16">
        <v>0.03</v>
      </c>
      <c r="E165" s="16">
        <v>0.03</v>
      </c>
      <c r="F165" s="16">
        <v>0.03</v>
      </c>
      <c r="G165" s="16">
        <v>3.1E-2</v>
      </c>
      <c r="H165" s="16">
        <v>3.1E-2</v>
      </c>
      <c r="I165" s="16">
        <v>3.1E-2</v>
      </c>
      <c r="J165" s="100"/>
      <c r="K165" s="110"/>
      <c r="L165" s="110"/>
      <c r="M165" s="105"/>
      <c r="N165" s="162"/>
    </row>
    <row r="166" spans="1:14">
      <c r="A166" s="3" t="s">
        <v>157</v>
      </c>
      <c r="B166" s="3"/>
      <c r="C166" s="3"/>
      <c r="D166" s="26">
        <f t="shared" ref="D166:I166" si="66">-C63*D165</f>
        <v>-21.63</v>
      </c>
      <c r="E166" s="26">
        <f t="shared" si="66"/>
        <v>-21.63</v>
      </c>
      <c r="F166" s="26">
        <f t="shared" si="66"/>
        <v>-21.63</v>
      </c>
      <c r="G166" s="26">
        <f t="shared" si="66"/>
        <v>-22.350999999999999</v>
      </c>
      <c r="H166" s="26">
        <f t="shared" si="66"/>
        <v>-22.350999999999999</v>
      </c>
      <c r="I166" s="26">
        <f t="shared" si="66"/>
        <v>-22.350999999999999</v>
      </c>
      <c r="J166" s="100"/>
      <c r="K166" s="111"/>
      <c r="L166" s="111"/>
      <c r="M166" s="105"/>
      <c r="N166" s="162"/>
    </row>
    <row r="167" spans="1:14">
      <c r="A167" s="3" t="s">
        <v>158</v>
      </c>
      <c r="B167" s="3"/>
      <c r="C167" s="3"/>
      <c r="D167" s="16">
        <v>0.03</v>
      </c>
      <c r="E167" s="16">
        <v>0.03</v>
      </c>
      <c r="F167" s="16">
        <v>0.03</v>
      </c>
      <c r="G167" s="16">
        <v>3.1E-2</v>
      </c>
      <c r="H167" s="16">
        <v>3.1E-2</v>
      </c>
      <c r="I167" s="16">
        <v>3.1E-2</v>
      </c>
      <c r="J167" s="100"/>
      <c r="K167" s="110"/>
      <c r="L167" s="110"/>
      <c r="M167" s="105"/>
      <c r="N167" s="162"/>
    </row>
    <row r="168" spans="1:14">
      <c r="A168" s="3" t="s">
        <v>159</v>
      </c>
      <c r="B168" s="3"/>
      <c r="C168" s="3"/>
      <c r="D168" s="26">
        <f t="shared" ref="D168:I168" si="67">-C64*D167</f>
        <v>-120.99</v>
      </c>
      <c r="E168" s="26">
        <f t="shared" si="67"/>
        <v>-120.99</v>
      </c>
      <c r="F168" s="26">
        <f t="shared" si="67"/>
        <v>-120.99</v>
      </c>
      <c r="G168" s="26">
        <f t="shared" si="67"/>
        <v>-125.023</v>
      </c>
      <c r="H168" s="26">
        <f t="shared" si="67"/>
        <v>-125.023</v>
      </c>
      <c r="I168" s="26">
        <f t="shared" si="67"/>
        <v>-125.023</v>
      </c>
      <c r="J168" s="100"/>
      <c r="K168" s="111"/>
      <c r="L168" s="111"/>
      <c r="M168" s="105"/>
      <c r="N168" s="162"/>
    </row>
    <row r="169" spans="1:14">
      <c r="A169" s="3" t="s">
        <v>160</v>
      </c>
      <c r="B169" s="3"/>
      <c r="C169" s="3"/>
      <c r="D169" s="16">
        <v>0.03</v>
      </c>
      <c r="E169" s="16">
        <v>2.9000000000000001E-2</v>
      </c>
      <c r="F169" s="16">
        <v>2.8000000000000001E-2</v>
      </c>
      <c r="G169" s="16">
        <v>2.7E-2</v>
      </c>
      <c r="H169" s="16">
        <v>2.5999999999999999E-2</v>
      </c>
      <c r="I169" s="16">
        <v>2.5000000000000001E-2</v>
      </c>
      <c r="J169" s="100"/>
      <c r="K169" s="110"/>
      <c r="L169" s="110"/>
      <c r="M169" s="105"/>
      <c r="N169" s="162"/>
    </row>
    <row r="170" spans="1:14">
      <c r="A170" s="3" t="s">
        <v>105</v>
      </c>
      <c r="B170" s="3"/>
      <c r="C170" s="3"/>
      <c r="D170" s="19">
        <f t="shared" ref="D170:I170" si="68">C51*D169</f>
        <v>27.959999999999997</v>
      </c>
      <c r="E170" s="19">
        <f t="shared" si="68"/>
        <v>40.060284486604431</v>
      </c>
      <c r="F170" s="19">
        <f t="shared" si="68"/>
        <v>54.166749337238123</v>
      </c>
      <c r="G170" s="19">
        <f t="shared" si="68"/>
        <v>68.167026149474452</v>
      </c>
      <c r="H170" s="19">
        <f t="shared" si="68"/>
        <v>82.181737448208125</v>
      </c>
      <c r="I170" s="19">
        <f t="shared" si="68"/>
        <v>95.70933353692719</v>
      </c>
      <c r="J170" s="98"/>
      <c r="K170" s="108"/>
      <c r="L170" s="108"/>
      <c r="M170" s="105"/>
      <c r="N170" s="162"/>
    </row>
    <row r="171" spans="1:14">
      <c r="A171" s="3"/>
      <c r="B171" s="3"/>
      <c r="C171" s="3"/>
      <c r="D171" s="3"/>
      <c r="E171" s="3"/>
      <c r="F171" s="3"/>
      <c r="G171" s="3"/>
      <c r="H171" s="3"/>
      <c r="I171" s="3"/>
      <c r="J171" s="95"/>
      <c r="K171" s="105"/>
      <c r="L171" s="105"/>
      <c r="M171" s="105"/>
      <c r="N171" s="162"/>
    </row>
    <row r="172" spans="1:14">
      <c r="A172" s="8" t="s">
        <v>161</v>
      </c>
      <c r="B172" s="8"/>
      <c r="C172" s="8"/>
      <c r="D172" s="8"/>
      <c r="E172" s="8"/>
      <c r="F172" s="8"/>
      <c r="G172" s="8"/>
      <c r="H172" s="8"/>
      <c r="I172" s="8"/>
      <c r="J172" s="96"/>
      <c r="K172" s="106"/>
      <c r="L172" s="106"/>
      <c r="M172" s="106"/>
      <c r="N172" s="145"/>
    </row>
    <row r="173" spans="1:14">
      <c r="A173" s="3"/>
      <c r="B173" s="3"/>
      <c r="C173" s="3"/>
      <c r="D173" s="3"/>
      <c r="E173" s="3"/>
      <c r="F173" s="3"/>
      <c r="G173" s="3"/>
      <c r="H173" s="3"/>
      <c r="I173" s="3"/>
      <c r="J173" s="95"/>
      <c r="K173" s="105"/>
      <c r="L173" s="105"/>
      <c r="M173" s="105"/>
      <c r="N173" s="162"/>
    </row>
    <row r="174" spans="1:14">
      <c r="A174" s="3" t="s">
        <v>162</v>
      </c>
      <c r="B174" s="3" t="s">
        <v>97</v>
      </c>
      <c r="C174" s="3"/>
      <c r="D174" s="3"/>
      <c r="E174" s="3"/>
      <c r="F174" s="3"/>
      <c r="G174" s="3"/>
      <c r="H174" s="3"/>
      <c r="I174" s="3"/>
      <c r="J174" s="95"/>
      <c r="K174" s="105"/>
      <c r="L174" s="105"/>
      <c r="M174" s="105"/>
      <c r="N174" s="162"/>
    </row>
    <row r="175" spans="1:14">
      <c r="A175" s="3"/>
      <c r="B175" s="3"/>
      <c r="C175" s="3"/>
      <c r="D175" s="3"/>
      <c r="E175" s="3"/>
      <c r="F175" s="3"/>
      <c r="G175" s="3"/>
      <c r="H175" s="3"/>
      <c r="I175" s="3"/>
      <c r="J175" s="95"/>
      <c r="K175" s="105"/>
      <c r="L175" s="105"/>
      <c r="M175" s="105"/>
      <c r="N175" s="162"/>
    </row>
    <row r="176" spans="1:14">
      <c r="A176" s="3" t="s">
        <v>39</v>
      </c>
      <c r="B176" s="3"/>
      <c r="C176" s="3"/>
      <c r="D176" s="3"/>
      <c r="E176" s="3"/>
      <c r="F176" s="3"/>
      <c r="G176" s="3"/>
      <c r="H176" s="3"/>
      <c r="I176" s="3"/>
      <c r="J176" s="95"/>
      <c r="K176" s="105"/>
      <c r="L176" s="105"/>
      <c r="M176" s="105"/>
      <c r="N176" s="162"/>
    </row>
    <row r="177" spans="1:14">
      <c r="A177" s="3" t="s">
        <v>163</v>
      </c>
      <c r="B177" s="3"/>
      <c r="C177" s="3"/>
      <c r="D177" s="16">
        <v>7.5000000000000011E-2</v>
      </c>
      <c r="E177" s="16">
        <v>8.4499999999999992E-2</v>
      </c>
      <c r="F177" s="16">
        <v>8.2199999999999995E-2</v>
      </c>
      <c r="G177" s="16">
        <v>7.8800000000000009E-2</v>
      </c>
      <c r="H177" s="16">
        <v>7.4800000000000005E-2</v>
      </c>
      <c r="I177" s="16">
        <v>7.0699999999999999E-2</v>
      </c>
      <c r="J177" s="100"/>
      <c r="K177" s="110"/>
      <c r="L177" s="110"/>
      <c r="M177" s="105"/>
      <c r="N177" s="162"/>
    </row>
    <row r="178" spans="1:14">
      <c r="A178" s="3" t="s">
        <v>97</v>
      </c>
      <c r="B178" s="3"/>
      <c r="C178" s="3"/>
      <c r="D178" s="16">
        <v>0.05</v>
      </c>
      <c r="E178" s="16">
        <v>5.9499999999999997E-2</v>
      </c>
      <c r="F178" s="16">
        <v>5.7200000000000001E-2</v>
      </c>
      <c r="G178" s="16">
        <v>5.3800000000000001E-2</v>
      </c>
      <c r="H178" s="16">
        <v>4.9799999999999997E-2</v>
      </c>
      <c r="I178" s="16">
        <v>4.5699999999999998E-2</v>
      </c>
      <c r="J178" s="100"/>
      <c r="K178" s="110"/>
      <c r="L178" s="110"/>
      <c r="M178" s="105"/>
      <c r="N178" s="162"/>
    </row>
    <row r="179" spans="1:14">
      <c r="A179" s="3" t="s">
        <v>164</v>
      </c>
      <c r="B179" s="3"/>
      <c r="C179" s="3"/>
      <c r="D179" s="16">
        <v>2.5000000000000001E-2</v>
      </c>
      <c r="E179" s="16">
        <v>3.4499999999999996E-2</v>
      </c>
      <c r="F179" s="16">
        <v>3.2199999999999999E-2</v>
      </c>
      <c r="G179" s="16">
        <v>2.8799999999999999E-2</v>
      </c>
      <c r="H179" s="16">
        <v>2.4799999999999996E-2</v>
      </c>
      <c r="I179" s="16">
        <v>2.0699999999999996E-2</v>
      </c>
      <c r="J179" s="100"/>
      <c r="K179" s="110"/>
      <c r="L179" s="110"/>
      <c r="M179" s="105"/>
      <c r="N179" s="162"/>
    </row>
    <row r="180" spans="1:14">
      <c r="A180" s="3"/>
      <c r="B180" s="3"/>
      <c r="C180" s="3"/>
      <c r="D180" s="3"/>
      <c r="E180" s="3"/>
      <c r="F180" s="3"/>
      <c r="G180" s="3"/>
      <c r="H180" s="3"/>
      <c r="I180" s="3"/>
      <c r="J180" s="95"/>
      <c r="K180" s="105"/>
      <c r="L180" s="105"/>
      <c r="M180" s="105"/>
      <c r="N180" s="162"/>
    </row>
    <row r="181" spans="1:14">
      <c r="A181" s="3" t="s">
        <v>40</v>
      </c>
      <c r="B181" s="3"/>
      <c r="C181" s="3"/>
      <c r="D181" s="3"/>
      <c r="E181" s="3"/>
      <c r="F181" s="3"/>
      <c r="G181" s="3"/>
      <c r="H181" s="3"/>
      <c r="I181" s="3"/>
      <c r="J181" s="95"/>
      <c r="K181" s="105"/>
      <c r="L181" s="105"/>
      <c r="M181" s="105"/>
      <c r="N181" s="162"/>
    </row>
    <row r="182" spans="1:14">
      <c r="A182" s="3" t="s">
        <v>163</v>
      </c>
      <c r="B182" s="3"/>
      <c r="C182" s="3"/>
      <c r="D182" s="16">
        <v>0.75</v>
      </c>
      <c r="E182" s="16">
        <v>0.752</v>
      </c>
      <c r="F182" s="16">
        <v>0.753</v>
      </c>
      <c r="G182" s="16">
        <v>0.754</v>
      </c>
      <c r="H182" s="16">
        <v>0.755</v>
      </c>
      <c r="I182" s="16">
        <v>0.75600000000000001</v>
      </c>
      <c r="J182" s="100"/>
      <c r="K182" s="110"/>
      <c r="L182" s="110"/>
      <c r="M182" s="105"/>
      <c r="N182" s="162"/>
    </row>
    <row r="183" spans="1:14">
      <c r="A183" s="3" t="s">
        <v>97</v>
      </c>
      <c r="B183" s="3"/>
      <c r="C183" s="3"/>
      <c r="D183" s="16">
        <v>0.74</v>
      </c>
      <c r="E183" s="16">
        <v>0.74199999999999999</v>
      </c>
      <c r="F183" s="16">
        <v>0.74299999999999999</v>
      </c>
      <c r="G183" s="16">
        <v>0.74399999999999999</v>
      </c>
      <c r="H183" s="16">
        <v>0.745</v>
      </c>
      <c r="I183" s="16">
        <v>0.746</v>
      </c>
      <c r="J183" s="100"/>
      <c r="K183" s="110"/>
      <c r="L183" s="110"/>
      <c r="M183" s="105"/>
      <c r="N183" s="162"/>
    </row>
    <row r="184" spans="1:14">
      <c r="A184" s="3" t="s">
        <v>164</v>
      </c>
      <c r="B184" s="3"/>
      <c r="C184" s="3"/>
      <c r="D184" s="16">
        <v>0.73</v>
      </c>
      <c r="E184" s="16">
        <v>0.73199999999999998</v>
      </c>
      <c r="F184" s="16">
        <v>0.73299999999999998</v>
      </c>
      <c r="G184" s="16">
        <v>0.73399999999999999</v>
      </c>
      <c r="H184" s="16">
        <v>0.73499999999999999</v>
      </c>
      <c r="I184" s="16">
        <v>0.73599999999999999</v>
      </c>
      <c r="J184" s="100"/>
      <c r="K184" s="110"/>
      <c r="L184" s="110"/>
      <c r="M184" s="105"/>
      <c r="N184" s="162"/>
    </row>
    <row r="185" spans="1:14">
      <c r="A185" s="3"/>
      <c r="B185" s="3"/>
      <c r="C185" s="3"/>
      <c r="D185" s="3"/>
      <c r="E185" s="3"/>
      <c r="F185" s="3"/>
      <c r="G185" s="3"/>
      <c r="H185" s="3"/>
      <c r="I185" s="3"/>
      <c r="J185" s="95"/>
      <c r="K185" s="105"/>
      <c r="L185" s="105"/>
      <c r="M185" s="105"/>
      <c r="N185" s="162"/>
    </row>
    <row r="186" spans="1:14">
      <c r="A186" s="3" t="s">
        <v>165</v>
      </c>
      <c r="B186" s="3"/>
      <c r="C186" s="3"/>
      <c r="D186" s="3"/>
      <c r="E186" s="3"/>
      <c r="F186" s="3"/>
      <c r="G186" s="3"/>
      <c r="H186" s="3"/>
      <c r="I186" s="3"/>
      <c r="J186" s="95"/>
      <c r="K186" s="105"/>
      <c r="L186" s="105"/>
      <c r="M186" s="105"/>
      <c r="N186" s="162"/>
    </row>
    <row r="187" spans="1:14">
      <c r="A187" s="3" t="s">
        <v>163</v>
      </c>
      <c r="B187" s="3"/>
      <c r="C187" s="3"/>
      <c r="D187" s="16">
        <v>0.11</v>
      </c>
      <c r="E187" s="16">
        <v>0.111</v>
      </c>
      <c r="F187" s="16">
        <v>0.112</v>
      </c>
      <c r="G187" s="16">
        <v>0.112</v>
      </c>
      <c r="H187" s="16">
        <v>0.112</v>
      </c>
      <c r="I187" s="16">
        <v>0.112</v>
      </c>
      <c r="J187" s="100"/>
      <c r="K187" s="110"/>
      <c r="L187" s="110"/>
      <c r="M187" s="105"/>
      <c r="N187" s="162"/>
    </row>
    <row r="188" spans="1:14">
      <c r="A188" s="3" t="s">
        <v>97</v>
      </c>
      <c r="B188" s="3"/>
      <c r="C188" s="3"/>
      <c r="D188" s="16">
        <v>0.12</v>
      </c>
      <c r="E188" s="16">
        <v>0.121</v>
      </c>
      <c r="F188" s="16">
        <v>0.122</v>
      </c>
      <c r="G188" s="16">
        <v>0.122</v>
      </c>
      <c r="H188" s="16">
        <v>0.122</v>
      </c>
      <c r="I188" s="16">
        <v>0.122</v>
      </c>
      <c r="J188" s="100"/>
      <c r="K188" s="110"/>
      <c r="L188" s="110"/>
      <c r="M188" s="105"/>
      <c r="N188" s="162"/>
    </row>
    <row r="189" spans="1:14">
      <c r="A189" s="3" t="s">
        <v>164</v>
      </c>
      <c r="B189" s="3"/>
      <c r="C189" s="3"/>
      <c r="D189" s="16">
        <v>0.13</v>
      </c>
      <c r="E189" s="16">
        <v>0.13100000000000001</v>
      </c>
      <c r="F189" s="16">
        <v>0.13200000000000001</v>
      </c>
      <c r="G189" s="16">
        <v>0.13200000000000001</v>
      </c>
      <c r="H189" s="16">
        <v>0.13200000000000001</v>
      </c>
      <c r="I189" s="16">
        <v>0.13200000000000001</v>
      </c>
      <c r="J189" s="100"/>
      <c r="K189" s="110"/>
      <c r="L189" s="110"/>
      <c r="M189" s="105"/>
      <c r="N189" s="162"/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95"/>
      <c r="K190" s="105"/>
      <c r="L190" s="105"/>
      <c r="M190" s="105"/>
      <c r="N190" s="162"/>
    </row>
    <row r="191" spans="1:14">
      <c r="A191" s="3" t="s">
        <v>42</v>
      </c>
      <c r="B191" s="3"/>
      <c r="C191" s="3"/>
      <c r="D191" s="3"/>
      <c r="E191" s="3"/>
      <c r="F191" s="3"/>
      <c r="G191" s="3"/>
      <c r="H191" s="3"/>
      <c r="I191" s="3"/>
      <c r="J191" s="95"/>
      <c r="K191" s="105"/>
      <c r="L191" s="105"/>
      <c r="M191" s="105"/>
      <c r="N191" s="162"/>
    </row>
    <row r="192" spans="1:14">
      <c r="A192" s="3" t="s">
        <v>163</v>
      </c>
      <c r="B192" s="3"/>
      <c r="C192" s="3"/>
      <c r="D192" s="16">
        <v>0.14799999999999999</v>
      </c>
      <c r="E192" s="16">
        <v>0.14699999999999999</v>
      </c>
      <c r="F192" s="16">
        <v>0.14599999999999999</v>
      </c>
      <c r="G192" s="16">
        <v>0.14499999999999999</v>
      </c>
      <c r="H192" s="16">
        <v>0.14399999999999999</v>
      </c>
      <c r="I192" s="16">
        <v>0.14299999999999999</v>
      </c>
      <c r="J192" s="100"/>
      <c r="K192" s="110"/>
      <c r="L192" s="110"/>
      <c r="M192" s="105"/>
      <c r="N192" s="162"/>
    </row>
    <row r="193" spans="1:14">
      <c r="A193" s="3" t="s">
        <v>97</v>
      </c>
      <c r="B193" s="3"/>
      <c r="C193" s="3"/>
      <c r="D193" s="16">
        <v>0.158</v>
      </c>
      <c r="E193" s="16">
        <v>0.157</v>
      </c>
      <c r="F193" s="16">
        <v>0.156</v>
      </c>
      <c r="G193" s="16">
        <v>0.155</v>
      </c>
      <c r="H193" s="16">
        <v>0.154</v>
      </c>
      <c r="I193" s="16">
        <v>0.153</v>
      </c>
      <c r="J193" s="100"/>
      <c r="K193" s="110"/>
      <c r="L193" s="110"/>
      <c r="M193" s="105"/>
      <c r="N193" s="162"/>
    </row>
    <row r="194" spans="1:14">
      <c r="A194" s="3" t="s">
        <v>164</v>
      </c>
      <c r="B194" s="3"/>
      <c r="C194" s="3"/>
      <c r="D194" s="16">
        <v>0.16800000000000001</v>
      </c>
      <c r="E194" s="16">
        <v>0.16700000000000001</v>
      </c>
      <c r="F194" s="16">
        <v>0.16600000000000001</v>
      </c>
      <c r="G194" s="16">
        <v>0.16500000000000001</v>
      </c>
      <c r="H194" s="16">
        <v>0.16400000000000001</v>
      </c>
      <c r="I194" s="16">
        <v>0.16300000000000001</v>
      </c>
      <c r="J194" s="100"/>
      <c r="K194" s="110"/>
      <c r="L194" s="110"/>
      <c r="M194" s="105"/>
      <c r="N194" s="162"/>
    </row>
    <row r="195" spans="1:14">
      <c r="A195" s="3"/>
      <c r="B195" s="3"/>
      <c r="C195" s="3"/>
      <c r="D195" s="3"/>
      <c r="E195" s="3"/>
      <c r="F195" s="3"/>
      <c r="G195" s="3"/>
      <c r="H195" s="3"/>
      <c r="I195" s="3"/>
      <c r="J195" s="95"/>
      <c r="K195" s="105"/>
      <c r="L195" s="105"/>
      <c r="M195" s="105"/>
      <c r="N195" s="162"/>
    </row>
    <row r="196" spans="1:14">
      <c r="A196" s="3" t="s">
        <v>43</v>
      </c>
      <c r="B196" s="3"/>
      <c r="C196" s="3"/>
      <c r="D196" s="3"/>
      <c r="E196" s="3"/>
      <c r="F196" s="3"/>
      <c r="G196" s="3"/>
      <c r="H196" s="3"/>
      <c r="I196" s="3"/>
      <c r="J196" s="95"/>
      <c r="K196" s="105"/>
      <c r="L196" s="105"/>
      <c r="M196" s="105"/>
      <c r="N196" s="162"/>
    </row>
    <row r="197" spans="1:14">
      <c r="A197" s="3" t="s">
        <v>163</v>
      </c>
      <c r="B197" s="3"/>
      <c r="C197" s="3"/>
      <c r="D197" s="16">
        <v>0.17199999999999999</v>
      </c>
      <c r="E197" s="16">
        <v>0.16999999999999998</v>
      </c>
      <c r="F197" s="16">
        <v>0.16699999999999998</v>
      </c>
      <c r="G197" s="16">
        <v>0.16499999999999998</v>
      </c>
      <c r="H197" s="16">
        <v>0.16399999999999998</v>
      </c>
      <c r="I197" s="16">
        <v>0.16399999999999998</v>
      </c>
      <c r="J197" s="100"/>
      <c r="K197" s="110"/>
      <c r="L197" s="110"/>
      <c r="M197" s="105"/>
      <c r="N197" s="162"/>
    </row>
    <row r="198" spans="1:14">
      <c r="A198" s="3" t="s">
        <v>97</v>
      </c>
      <c r="B198" s="3"/>
      <c r="C198" s="3"/>
      <c r="D198" s="16">
        <v>0.182</v>
      </c>
      <c r="E198" s="16">
        <v>0.18</v>
      </c>
      <c r="F198" s="16">
        <v>0.17699999999999999</v>
      </c>
      <c r="G198" s="16">
        <v>0.17499999999999999</v>
      </c>
      <c r="H198" s="16">
        <v>0.17399999999999999</v>
      </c>
      <c r="I198" s="16">
        <v>0.17399999999999999</v>
      </c>
      <c r="J198" s="100"/>
      <c r="K198" s="110"/>
      <c r="L198" s="110"/>
      <c r="M198" s="105"/>
      <c r="N198" s="162"/>
    </row>
    <row r="199" spans="1:14">
      <c r="A199" s="3" t="s">
        <v>164</v>
      </c>
      <c r="B199" s="3"/>
      <c r="C199" s="3"/>
      <c r="D199" s="16">
        <v>0.192</v>
      </c>
      <c r="E199" s="16">
        <v>0.19</v>
      </c>
      <c r="F199" s="16">
        <v>0.187</v>
      </c>
      <c r="G199" s="16">
        <v>0.185</v>
      </c>
      <c r="H199" s="16">
        <v>0.184</v>
      </c>
      <c r="I199" s="16">
        <v>0.184</v>
      </c>
      <c r="J199" s="100"/>
      <c r="K199" s="110"/>
      <c r="L199" s="110"/>
      <c r="M199" s="105"/>
      <c r="N199" s="162"/>
    </row>
    <row r="200" spans="1:14">
      <c r="A200" s="3"/>
      <c r="B200" s="3"/>
      <c r="C200" s="3"/>
      <c r="D200" s="3"/>
      <c r="E200" s="3"/>
      <c r="F200" s="3"/>
      <c r="G200" s="3"/>
      <c r="H200" s="3"/>
      <c r="I200" s="3"/>
      <c r="J200" s="95"/>
      <c r="K200" s="105"/>
      <c r="L200" s="105"/>
      <c r="M200" s="105"/>
      <c r="N200" s="162"/>
    </row>
    <row r="201" spans="1:14">
      <c r="A201" s="3" t="s">
        <v>166</v>
      </c>
      <c r="B201" s="3"/>
      <c r="C201" s="3"/>
      <c r="D201" s="3"/>
      <c r="E201" s="3"/>
      <c r="F201" s="3"/>
      <c r="G201" s="3"/>
      <c r="H201" s="3"/>
      <c r="I201" s="3"/>
      <c r="J201" s="95"/>
      <c r="K201" s="105"/>
      <c r="L201" s="105"/>
      <c r="M201" s="105"/>
      <c r="N201" s="162"/>
    </row>
    <row r="202" spans="1:14">
      <c r="A202" s="3" t="s">
        <v>163</v>
      </c>
      <c r="B202" s="3"/>
      <c r="C202" s="3"/>
      <c r="D202" s="16">
        <v>0.02</v>
      </c>
      <c r="E202" s="16">
        <v>1.9E-2</v>
      </c>
      <c r="F202" s="16">
        <v>1.7999999999999999E-2</v>
      </c>
      <c r="G202" s="16">
        <v>1.6999999999999998E-2</v>
      </c>
      <c r="H202" s="16">
        <v>1.6E-2</v>
      </c>
      <c r="I202" s="16">
        <v>1.4999999999999999E-2</v>
      </c>
      <c r="J202" s="100"/>
      <c r="K202" s="110"/>
      <c r="L202" s="110"/>
      <c r="M202" s="105"/>
      <c r="N202" s="162"/>
    </row>
    <row r="203" spans="1:14">
      <c r="A203" s="3" t="s">
        <v>97</v>
      </c>
      <c r="B203" s="3"/>
      <c r="C203" s="3"/>
      <c r="D203" s="16">
        <v>2.5000000000000001E-2</v>
      </c>
      <c r="E203" s="16">
        <v>2.4E-2</v>
      </c>
      <c r="F203" s="16">
        <v>2.3E-2</v>
      </c>
      <c r="G203" s="16">
        <v>2.1999999999999999E-2</v>
      </c>
      <c r="H203" s="16">
        <v>2.1000000000000001E-2</v>
      </c>
      <c r="I203" s="16">
        <v>0.02</v>
      </c>
      <c r="J203" s="100"/>
      <c r="K203" s="110"/>
      <c r="L203" s="110"/>
      <c r="M203" s="105"/>
      <c r="N203" s="162"/>
    </row>
    <row r="204" spans="1:14">
      <c r="A204" s="3" t="s">
        <v>164</v>
      </c>
      <c r="B204" s="3"/>
      <c r="C204" s="3"/>
      <c r="D204" s="16">
        <v>3.0000000000000002E-2</v>
      </c>
      <c r="E204" s="16">
        <v>2.9000000000000001E-2</v>
      </c>
      <c r="F204" s="16">
        <v>2.8000000000000001E-2</v>
      </c>
      <c r="G204" s="16">
        <v>2.7E-2</v>
      </c>
      <c r="H204" s="16">
        <v>2.6000000000000002E-2</v>
      </c>
      <c r="I204" s="16">
        <v>2.5000000000000001E-2</v>
      </c>
      <c r="J204" s="100"/>
      <c r="K204" s="110"/>
      <c r="L204" s="110"/>
      <c r="M204" s="105"/>
      <c r="N204" s="162"/>
    </row>
    <row r="205" spans="1:14">
      <c r="A205" s="3"/>
      <c r="B205" s="3"/>
      <c r="C205" s="3"/>
      <c r="D205" s="3"/>
      <c r="E205" s="3"/>
      <c r="F205" s="3"/>
      <c r="G205" s="3"/>
      <c r="H205" s="3"/>
      <c r="I205" s="3"/>
      <c r="J205" s="95"/>
      <c r="K205" s="105"/>
      <c r="L205" s="105"/>
      <c r="M205" s="105"/>
      <c r="N205" s="162"/>
    </row>
    <row r="206" spans="1:14">
      <c r="A206" s="3" t="s">
        <v>167</v>
      </c>
      <c r="B206" s="3"/>
      <c r="C206" s="3"/>
      <c r="D206" s="3"/>
      <c r="E206" s="3"/>
      <c r="F206" s="3"/>
      <c r="G206" s="3"/>
      <c r="H206" s="3"/>
      <c r="I206" s="3"/>
      <c r="J206" s="95"/>
      <c r="K206" s="105"/>
      <c r="L206" s="105"/>
      <c r="M206" s="105"/>
      <c r="N206" s="162"/>
    </row>
    <row r="207" spans="1:14">
      <c r="A207" s="3" t="s">
        <v>163</v>
      </c>
      <c r="B207" s="3"/>
      <c r="C207" s="3"/>
      <c r="D207" s="16">
        <v>0.21</v>
      </c>
      <c r="E207" s="16">
        <v>0.21</v>
      </c>
      <c r="F207" s="16">
        <v>0.21</v>
      </c>
      <c r="G207" s="16">
        <v>0.21</v>
      </c>
      <c r="H207" s="16">
        <v>0.21</v>
      </c>
      <c r="I207" s="16">
        <v>0.21</v>
      </c>
      <c r="J207" s="100"/>
      <c r="K207" s="110"/>
      <c r="L207" s="110"/>
      <c r="M207" s="105"/>
      <c r="N207" s="162"/>
    </row>
    <row r="208" spans="1:14">
      <c r="A208" s="3" t="s">
        <v>97</v>
      </c>
      <c r="B208" s="3"/>
      <c r="C208" s="3"/>
      <c r="D208" s="16">
        <v>0.21</v>
      </c>
      <c r="E208" s="16">
        <v>0.21</v>
      </c>
      <c r="F208" s="16">
        <v>0.21</v>
      </c>
      <c r="G208" s="16">
        <v>0.21</v>
      </c>
      <c r="H208" s="16">
        <v>0.21</v>
      </c>
      <c r="I208" s="16">
        <v>0.21</v>
      </c>
      <c r="J208" s="100"/>
      <c r="K208" s="110"/>
      <c r="L208" s="110"/>
      <c r="M208" s="105"/>
      <c r="N208" s="162"/>
    </row>
    <row r="209" spans="1:14">
      <c r="A209" s="3" t="s">
        <v>164</v>
      </c>
      <c r="B209" s="3"/>
      <c r="C209" s="3"/>
      <c r="D209" s="16">
        <v>0.21</v>
      </c>
      <c r="E209" s="16">
        <v>0.21</v>
      </c>
      <c r="F209" s="16">
        <v>0.21</v>
      </c>
      <c r="G209" s="16">
        <v>0.21</v>
      </c>
      <c r="H209" s="16">
        <v>0.21</v>
      </c>
      <c r="I209" s="16">
        <v>0.21</v>
      </c>
      <c r="J209" s="100"/>
      <c r="K209" s="110"/>
      <c r="L209" s="110"/>
      <c r="M209" s="105"/>
      <c r="N209" s="162"/>
    </row>
    <row r="210" spans="1:14">
      <c r="A210" s="3"/>
      <c r="B210" s="3"/>
      <c r="C210" s="3"/>
      <c r="D210" s="3"/>
      <c r="E210" s="3"/>
      <c r="F210" s="3"/>
      <c r="G210" s="3"/>
      <c r="H210" s="3"/>
      <c r="I210" s="3"/>
      <c r="J210" s="95"/>
      <c r="K210" s="105"/>
      <c r="L210" s="105"/>
      <c r="M210" s="105"/>
      <c r="N210" s="162"/>
    </row>
    <row r="211" spans="1:14">
      <c r="A211" s="3"/>
      <c r="B211" s="3"/>
      <c r="C211" s="3"/>
      <c r="D211" s="3"/>
      <c r="E211" s="3"/>
      <c r="F211" s="3"/>
      <c r="G211" s="3"/>
      <c r="H211" s="3"/>
      <c r="I211" s="3"/>
      <c r="J211" s="95"/>
      <c r="K211" s="105"/>
      <c r="L211" s="105"/>
      <c r="M211" s="105"/>
      <c r="N211" s="162"/>
    </row>
    <row r="212" spans="1:14">
      <c r="A212" s="3"/>
      <c r="B212" s="3"/>
      <c r="C212" s="3"/>
      <c r="D212" s="3"/>
      <c r="E212" s="3"/>
      <c r="F212" s="3"/>
      <c r="G212" s="3"/>
      <c r="H212" s="3"/>
      <c r="I212" s="3"/>
      <c r="J212" s="95"/>
      <c r="K212" s="105"/>
      <c r="L212" s="105"/>
      <c r="M212" s="105"/>
      <c r="N212" s="162"/>
    </row>
    <row r="213" spans="1:14">
      <c r="A213" s="8" t="s">
        <v>168</v>
      </c>
      <c r="B213" s="8"/>
      <c r="C213" s="8"/>
      <c r="D213" s="8"/>
      <c r="E213" s="8"/>
      <c r="F213" s="8"/>
      <c r="G213" s="8"/>
      <c r="H213" s="8"/>
      <c r="I213" s="8"/>
      <c r="J213" s="96"/>
      <c r="K213" s="106"/>
      <c r="L213" s="106"/>
      <c r="M213" s="106"/>
      <c r="N213" s="145"/>
    </row>
    <row r="214" spans="1:14">
      <c r="A214" s="3"/>
      <c r="B214" s="3">
        <v>2024</v>
      </c>
      <c r="C214" s="3">
        <v>2025</v>
      </c>
      <c r="D214" s="3">
        <v>2026</v>
      </c>
      <c r="E214" s="3">
        <v>2027</v>
      </c>
      <c r="F214" s="3">
        <v>2028</v>
      </c>
      <c r="G214" s="3">
        <v>2029</v>
      </c>
      <c r="H214" s="3">
        <v>2030</v>
      </c>
      <c r="I214" s="3">
        <v>2031</v>
      </c>
      <c r="J214" s="95"/>
      <c r="K214" s="105"/>
      <c r="L214" s="105"/>
      <c r="M214" s="105"/>
      <c r="N214" s="162"/>
    </row>
    <row r="215" spans="1:14">
      <c r="A215" s="3"/>
      <c r="B215" s="3"/>
      <c r="C215" s="3"/>
      <c r="D215" s="3"/>
      <c r="E215" s="3"/>
      <c r="F215" s="3"/>
      <c r="G215" s="3"/>
      <c r="H215" s="3"/>
      <c r="I215" s="3"/>
      <c r="J215" s="95"/>
      <c r="K215" s="105"/>
      <c r="L215" s="105"/>
      <c r="M215" s="105"/>
      <c r="N215" s="162"/>
    </row>
    <row r="216" spans="1:14">
      <c r="A216" s="3" t="s">
        <v>33</v>
      </c>
      <c r="B216" s="3">
        <f>B30</f>
        <v>1077</v>
      </c>
      <c r="C216" s="3">
        <f>C30</f>
        <v>1306</v>
      </c>
      <c r="D216" s="168">
        <f>D30</f>
        <v>1203.4139125000002</v>
      </c>
      <c r="E216" s="168">
        <f>E30</f>
        <v>1316.9748103694174</v>
      </c>
      <c r="F216" s="168">
        <f>F30</f>
        <v>1436.6291978946053</v>
      </c>
      <c r="G216" s="168">
        <f>G30</f>
        <v>1555.0541790453983</v>
      </c>
      <c r="H216" s="168">
        <f>H30</f>
        <v>1671.9452213533687</v>
      </c>
      <c r="I216" s="168">
        <f>I30</f>
        <v>1781.2160623857462</v>
      </c>
      <c r="J216" s="95"/>
      <c r="K216" s="105"/>
      <c r="L216" s="105"/>
      <c r="M216" s="105"/>
      <c r="N216" s="162"/>
    </row>
    <row r="217" spans="1:14">
      <c r="A217" s="3" t="s">
        <v>169</v>
      </c>
      <c r="B217" s="3">
        <v>237.5</v>
      </c>
      <c r="C217" s="3">
        <v>231</v>
      </c>
      <c r="D217" s="3">
        <f t="shared" ref="D217:I217" si="69">D220-0.8</f>
        <v>227.2</v>
      </c>
      <c r="E217" s="3">
        <f t="shared" si="69"/>
        <v>225.2</v>
      </c>
      <c r="F217" s="3">
        <f t="shared" si="69"/>
        <v>223.2</v>
      </c>
      <c r="G217" s="3">
        <f t="shared" si="69"/>
        <v>221.2</v>
      </c>
      <c r="H217" s="3">
        <f t="shared" si="69"/>
        <v>219.2</v>
      </c>
      <c r="I217" s="3">
        <f t="shared" si="69"/>
        <v>217.2</v>
      </c>
      <c r="J217" s="95"/>
      <c r="K217" s="105"/>
      <c r="L217" s="105"/>
      <c r="M217" s="105"/>
      <c r="N217" s="162"/>
    </row>
    <row r="218" spans="1:14">
      <c r="A218" s="3" t="s">
        <v>170</v>
      </c>
      <c r="B218" s="31">
        <f t="shared" ref="B218:I218" si="70">B216/B217</f>
        <v>4.5347368421052634</v>
      </c>
      <c r="C218" s="31">
        <f t="shared" si="70"/>
        <v>5.6536796536796539</v>
      </c>
      <c r="D218" s="31">
        <f t="shared" si="70"/>
        <v>5.296716164172536</v>
      </c>
      <c r="E218" s="31">
        <f t="shared" si="70"/>
        <v>5.8480231366315163</v>
      </c>
      <c r="F218" s="31">
        <f t="shared" si="70"/>
        <v>6.4365107432554005</v>
      </c>
      <c r="G218" s="31">
        <f t="shared" si="70"/>
        <v>7.0300821837495411</v>
      </c>
      <c r="H218" s="31">
        <f t="shared" si="70"/>
        <v>7.6274873236923755</v>
      </c>
      <c r="I218" s="31">
        <f t="shared" si="70"/>
        <v>8.2008106003026988</v>
      </c>
      <c r="J218" s="103"/>
      <c r="K218" s="114"/>
      <c r="L218" s="114"/>
      <c r="M218" s="105"/>
      <c r="N218" s="162"/>
    </row>
    <row r="219" spans="1:14">
      <c r="A219" s="3"/>
      <c r="B219" s="31"/>
      <c r="C219" s="31"/>
      <c r="D219" s="31"/>
      <c r="E219" s="31"/>
      <c r="F219" s="31"/>
      <c r="G219" s="31"/>
      <c r="H219" s="31"/>
      <c r="I219" s="31"/>
      <c r="J219" s="103"/>
      <c r="K219" s="114"/>
      <c r="L219" s="114"/>
      <c r="M219" s="105"/>
      <c r="N219" s="162"/>
    </row>
    <row r="220" spans="1:14">
      <c r="A220" s="3" t="s">
        <v>171</v>
      </c>
      <c r="B220" s="31">
        <v>238.4</v>
      </c>
      <c r="C220" s="31">
        <v>231.8</v>
      </c>
      <c r="D220" s="32">
        <v>228</v>
      </c>
      <c r="E220" s="32">
        <v>226</v>
      </c>
      <c r="F220" s="32">
        <v>224</v>
      </c>
      <c r="G220" s="32">
        <v>222</v>
      </c>
      <c r="H220" s="32">
        <v>220</v>
      </c>
      <c r="I220" s="32">
        <v>218</v>
      </c>
      <c r="J220" s="103"/>
      <c r="K220" s="115"/>
      <c r="L220" s="115"/>
      <c r="M220" s="105"/>
      <c r="N220" s="162"/>
    </row>
    <row r="221" spans="1:14">
      <c r="A221" s="3" t="s">
        <v>172</v>
      </c>
      <c r="B221" s="31">
        <f t="shared" ref="B221:I221" si="71">B216/B220</f>
        <v>4.5176174496644297</v>
      </c>
      <c r="C221" s="31">
        <f t="shared" si="71"/>
        <v>5.6341673856773076</v>
      </c>
      <c r="D221" s="31">
        <f t="shared" si="71"/>
        <v>5.2781311951754395</v>
      </c>
      <c r="E221" s="31">
        <f t="shared" si="71"/>
        <v>5.827322169776183</v>
      </c>
      <c r="F221" s="31">
        <f t="shared" si="71"/>
        <v>6.4135232048866309</v>
      </c>
      <c r="G221" s="31">
        <f t="shared" si="71"/>
        <v>7.0047485542585513</v>
      </c>
      <c r="H221" s="31">
        <f t="shared" si="71"/>
        <v>7.599751006151676</v>
      </c>
      <c r="I221" s="31">
        <f t="shared" si="71"/>
        <v>8.1707158825034227</v>
      </c>
      <c r="J221" s="103"/>
      <c r="K221" s="114"/>
      <c r="L221" s="114"/>
      <c r="M221" s="105"/>
      <c r="N221" s="162"/>
    </row>
    <row r="222" spans="1:14">
      <c r="A222" s="3"/>
      <c r="B222" s="3"/>
      <c r="C222" s="3"/>
      <c r="D222" s="3"/>
      <c r="E222" s="3"/>
      <c r="F222" s="3"/>
      <c r="G222" s="3"/>
      <c r="H222" s="3"/>
      <c r="I222" s="3"/>
      <c r="J222" s="95"/>
      <c r="K222" s="105"/>
      <c r="L222" s="105"/>
      <c r="M222" s="105"/>
      <c r="N222" s="162"/>
    </row>
    <row r="223" spans="1:14">
      <c r="A223" s="3" t="s">
        <v>173</v>
      </c>
      <c r="B223" s="3">
        <v>1000</v>
      </c>
      <c r="C223" s="3">
        <v>1096</v>
      </c>
      <c r="D223" s="168">
        <f t="shared" ref="D223:I223" si="72">-D94</f>
        <v>273.87052565068478</v>
      </c>
      <c r="E223" s="168">
        <f t="shared" si="72"/>
        <v>305.41136272508231</v>
      </c>
      <c r="F223" s="168">
        <f t="shared" si="72"/>
        <v>328.99586003049239</v>
      </c>
      <c r="G223" s="168">
        <f t="shared" si="72"/>
        <v>354.66825325094123</v>
      </c>
      <c r="H223" s="168">
        <f t="shared" si="72"/>
        <v>376.50317660868581</v>
      </c>
      <c r="I223" s="168">
        <f t="shared" si="72"/>
        <v>399.68945338268929</v>
      </c>
      <c r="J223" s="95"/>
      <c r="K223" s="105"/>
      <c r="L223" s="105"/>
      <c r="M223" s="105"/>
      <c r="N223" s="162"/>
    </row>
    <row r="224" spans="1:14">
      <c r="A224" s="3" t="s">
        <v>174</v>
      </c>
      <c r="B224" s="3">
        <v>31</v>
      </c>
      <c r="C224" s="3">
        <v>26</v>
      </c>
      <c r="D224" s="168">
        <f t="shared" ref="D224:I224" si="73">D81</f>
        <v>27.011249999999997</v>
      </c>
      <c r="E224" s="168">
        <f t="shared" si="73"/>
        <v>28.618419374999995</v>
      </c>
      <c r="F224" s="168">
        <f t="shared" si="73"/>
        <v>30.255392963249992</v>
      </c>
      <c r="G224" s="168">
        <f t="shared" si="73"/>
        <v>31.883133104672847</v>
      </c>
      <c r="H224" s="168">
        <f t="shared" si="73"/>
        <v>33.470913133285556</v>
      </c>
      <c r="I224" s="168">
        <f t="shared" si="73"/>
        <v>35.000533863476711</v>
      </c>
      <c r="J224" s="95"/>
      <c r="K224" s="105"/>
      <c r="L224" s="105"/>
      <c r="M224" s="105"/>
      <c r="N224" s="162"/>
    </row>
    <row r="225" spans="1:14">
      <c r="A225" s="3" t="s">
        <v>175</v>
      </c>
      <c r="B225" s="3"/>
      <c r="C225" s="3"/>
      <c r="D225" s="3"/>
      <c r="E225" s="3"/>
      <c r="F225" s="3"/>
      <c r="G225" s="3"/>
      <c r="H225" s="3"/>
      <c r="I225" s="3"/>
      <c r="J225" s="95"/>
      <c r="K225" s="105"/>
      <c r="L225" s="105"/>
      <c r="M225" s="105"/>
      <c r="N225" s="162"/>
    </row>
    <row r="226" spans="1:14">
      <c r="A226" s="3"/>
      <c r="B226" s="3"/>
      <c r="C226" s="3"/>
      <c r="D226" s="3"/>
      <c r="E226" s="3"/>
      <c r="F226" s="3"/>
      <c r="G226" s="3"/>
      <c r="H226" s="3"/>
      <c r="I226" s="3"/>
      <c r="J226" s="95"/>
      <c r="K226" s="105"/>
      <c r="L226" s="105"/>
      <c r="M226" s="105"/>
      <c r="N226" s="162"/>
    </row>
    <row r="227" spans="1:14">
      <c r="A227" s="3" t="s">
        <v>176</v>
      </c>
      <c r="B227" s="3"/>
      <c r="C227" s="3"/>
      <c r="D227" s="3">
        <v>231</v>
      </c>
      <c r="E227" s="3">
        <f>D229</f>
        <v>227.2</v>
      </c>
      <c r="F227" s="3">
        <f>E229</f>
        <v>225.2</v>
      </c>
      <c r="G227" s="3">
        <f>F229</f>
        <v>223.2</v>
      </c>
      <c r="H227" s="3">
        <f>G229</f>
        <v>221.2</v>
      </c>
      <c r="I227" s="3">
        <f>H229</f>
        <v>219.2</v>
      </c>
      <c r="J227" s="95"/>
      <c r="K227" s="105"/>
      <c r="L227" s="105"/>
      <c r="M227" s="105"/>
      <c r="N227" s="162"/>
    </row>
    <row r="228" spans="1:14">
      <c r="A228" s="3" t="s">
        <v>177</v>
      </c>
      <c r="B228" s="3"/>
      <c r="C228" s="3"/>
      <c r="D228" s="3">
        <f t="shared" ref="D228:I228" si="74">D229-D227</f>
        <v>-3.8000000000000114</v>
      </c>
      <c r="E228" s="3">
        <f t="shared" si="74"/>
        <v>-2</v>
      </c>
      <c r="F228" s="3">
        <f t="shared" si="74"/>
        <v>-2</v>
      </c>
      <c r="G228" s="3">
        <f t="shared" si="74"/>
        <v>-2</v>
      </c>
      <c r="H228" s="3">
        <f t="shared" si="74"/>
        <v>-2</v>
      </c>
      <c r="I228" s="3">
        <f t="shared" si="74"/>
        <v>-2</v>
      </c>
      <c r="J228" s="95"/>
      <c r="K228" s="105"/>
      <c r="L228" s="105"/>
      <c r="M228" s="105"/>
      <c r="N228" s="162"/>
    </row>
    <row r="229" spans="1:14">
      <c r="A229" s="3" t="s">
        <v>178</v>
      </c>
      <c r="B229" s="3"/>
      <c r="C229" s="3"/>
      <c r="D229" s="3">
        <f t="shared" ref="D229:I229" si="75">D217</f>
        <v>227.2</v>
      </c>
      <c r="E229" s="3">
        <f t="shared" si="75"/>
        <v>225.2</v>
      </c>
      <c r="F229" s="3">
        <f t="shared" si="75"/>
        <v>223.2</v>
      </c>
      <c r="G229" s="3">
        <f t="shared" si="75"/>
        <v>221.2</v>
      </c>
      <c r="H229" s="3">
        <f t="shared" si="75"/>
        <v>219.2</v>
      </c>
      <c r="I229" s="3">
        <f t="shared" si="75"/>
        <v>217.2</v>
      </c>
      <c r="J229" s="95"/>
      <c r="K229" s="105"/>
      <c r="L229" s="105"/>
      <c r="M229" s="105"/>
      <c r="N229" s="162"/>
    </row>
    <row r="230" spans="1:14">
      <c r="A230" s="3" t="s">
        <v>179</v>
      </c>
      <c r="B230" s="3"/>
      <c r="C230" s="3"/>
      <c r="D230" s="3">
        <f t="shared" ref="D230:I230" si="76">AVERAGE(D227,D229)</f>
        <v>229.1</v>
      </c>
      <c r="E230" s="3">
        <f t="shared" si="76"/>
        <v>226.2</v>
      </c>
      <c r="F230" s="3">
        <f t="shared" si="76"/>
        <v>224.2</v>
      </c>
      <c r="G230" s="3">
        <f t="shared" si="76"/>
        <v>222.2</v>
      </c>
      <c r="H230" s="3">
        <f t="shared" si="76"/>
        <v>220.2</v>
      </c>
      <c r="I230" s="3">
        <f t="shared" si="76"/>
        <v>218.2</v>
      </c>
      <c r="J230" s="95"/>
      <c r="K230" s="105"/>
      <c r="L230" s="105"/>
      <c r="M230" s="105"/>
      <c r="N230" s="162"/>
    </row>
    <row r="231" spans="1:14">
      <c r="A231" s="3"/>
      <c r="B231" s="3"/>
      <c r="C231" s="3"/>
      <c r="D231" s="3"/>
      <c r="E231" s="3"/>
      <c r="F231" s="3"/>
      <c r="G231" s="3"/>
      <c r="H231" s="3"/>
      <c r="I231" s="3"/>
      <c r="J231" s="95"/>
      <c r="K231" s="105"/>
      <c r="L231" s="105"/>
      <c r="M231" s="105"/>
      <c r="N231" s="162"/>
    </row>
    <row r="232" spans="1:14">
      <c r="M232" s="116"/>
      <c r="N232" s="116"/>
    </row>
  </sheetData>
  <mergeCells count="5">
    <mergeCell ref="M14:N16"/>
    <mergeCell ref="K15:K16"/>
    <mergeCell ref="K48:N50"/>
    <mergeCell ref="K76:N78"/>
    <mergeCell ref="M37:N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activeCell="L17" sqref="L17"/>
    </sheetView>
  </sheetViews>
  <sheetFormatPr baseColWidth="10" defaultColWidth="8.83203125" defaultRowHeight="15"/>
  <cols>
    <col min="1" max="1" width="43" customWidth="1"/>
    <col min="2" max="9" width="12" customWidth="1"/>
  </cols>
  <sheetData>
    <row r="1" spans="1:9">
      <c r="A1" s="3"/>
      <c r="B1" s="3"/>
      <c r="C1" s="3"/>
      <c r="D1" s="3"/>
      <c r="E1" s="3"/>
      <c r="F1" s="3"/>
      <c r="G1" s="3"/>
      <c r="H1" s="3"/>
      <c r="I1" s="3"/>
    </row>
    <row r="2" spans="1:9" ht="18">
      <c r="A2" s="5" t="s">
        <v>180</v>
      </c>
      <c r="B2" s="3"/>
      <c r="C2" s="3"/>
      <c r="D2" s="3"/>
      <c r="E2" s="3"/>
      <c r="F2" s="3"/>
      <c r="G2" s="3"/>
      <c r="H2" s="3"/>
      <c r="I2" s="3"/>
    </row>
    <row r="3" spans="1:9">
      <c r="A3" s="3" t="s">
        <v>181</v>
      </c>
      <c r="B3" s="3">
        <v>2024</v>
      </c>
      <c r="C3" s="3">
        <v>2025</v>
      </c>
      <c r="D3" s="3">
        <v>2026</v>
      </c>
      <c r="E3" s="3">
        <v>2027</v>
      </c>
      <c r="F3" s="3">
        <v>2028</v>
      </c>
      <c r="G3" s="3">
        <v>2029</v>
      </c>
      <c r="H3" s="3">
        <v>2030</v>
      </c>
      <c r="I3" s="3">
        <v>2031</v>
      </c>
    </row>
    <row r="4" spans="1:9">
      <c r="A4" s="3" t="s">
        <v>182</v>
      </c>
      <c r="B4" s="3" t="s">
        <v>9</v>
      </c>
      <c r="C4" s="3" t="s">
        <v>11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</row>
    <row r="5" spans="1:9">
      <c r="A5" s="8" t="s">
        <v>183</v>
      </c>
      <c r="B5" s="8"/>
      <c r="C5" s="8"/>
      <c r="D5" s="8"/>
      <c r="E5" s="8"/>
      <c r="F5" s="8"/>
      <c r="G5" s="8"/>
      <c r="H5" s="8"/>
      <c r="I5" s="8"/>
    </row>
    <row r="6" spans="1:9">
      <c r="A6" s="3" t="s">
        <v>184</v>
      </c>
      <c r="B6" s="33">
        <v>1561</v>
      </c>
      <c r="C6" s="33">
        <v>1660</v>
      </c>
      <c r="D6" s="34">
        <f t="shared" ref="D6:I6" si="0">C6*(1+D25)</f>
        <v>1776.2</v>
      </c>
      <c r="E6" s="34">
        <f t="shared" si="0"/>
        <v>1900.5340000000001</v>
      </c>
      <c r="F6" s="34">
        <f t="shared" si="0"/>
        <v>2024.06871</v>
      </c>
      <c r="G6" s="34">
        <f t="shared" si="0"/>
        <v>2145.5128325999999</v>
      </c>
      <c r="H6" s="34">
        <f t="shared" si="0"/>
        <v>2263.5160383929997</v>
      </c>
      <c r="I6" s="34">
        <f t="shared" si="0"/>
        <v>2376.6918403126497</v>
      </c>
    </row>
    <row r="7" spans="1:9">
      <c r="A7" s="3" t="s">
        <v>185</v>
      </c>
      <c r="B7" s="33">
        <v>0</v>
      </c>
      <c r="C7" s="33">
        <v>0</v>
      </c>
      <c r="D7" s="34">
        <f t="shared" ref="D7:I7" si="1">D17*D18/1000000</f>
        <v>6.25</v>
      </c>
      <c r="E7" s="34">
        <f t="shared" si="1"/>
        <v>15.3</v>
      </c>
      <c r="F7" s="34">
        <f t="shared" si="1"/>
        <v>27.539625000000001</v>
      </c>
      <c r="G7" s="34">
        <f t="shared" si="1"/>
        <v>43.191891249999998</v>
      </c>
      <c r="H7" s="34">
        <f t="shared" si="1"/>
        <v>62.531302575000005</v>
      </c>
      <c r="I7" s="34">
        <f t="shared" si="1"/>
        <v>85.84818448275</v>
      </c>
    </row>
    <row r="8" spans="1:9">
      <c r="A8" s="3" t="s">
        <v>186</v>
      </c>
      <c r="B8" s="33">
        <v>0</v>
      </c>
      <c r="C8" s="33">
        <v>0</v>
      </c>
      <c r="D8" s="34">
        <f t="shared" ref="D8:I8" si="2">D7*D19</f>
        <v>0.9375</v>
      </c>
      <c r="E8" s="34">
        <f t="shared" si="2"/>
        <v>2.2949999999999999</v>
      </c>
      <c r="F8" s="34">
        <f t="shared" si="2"/>
        <v>4.1309437500000001</v>
      </c>
      <c r="G8" s="34">
        <f t="shared" si="2"/>
        <v>6.4787836874999991</v>
      </c>
      <c r="H8" s="34">
        <f t="shared" si="2"/>
        <v>9.3796953862500008</v>
      </c>
      <c r="I8" s="34">
        <f t="shared" si="2"/>
        <v>12.8772276724125</v>
      </c>
    </row>
    <row r="9" spans="1:9">
      <c r="A9" s="12" t="s">
        <v>187</v>
      </c>
      <c r="B9" s="38">
        <v>0</v>
      </c>
      <c r="C9" s="38">
        <v>0</v>
      </c>
      <c r="D9" s="38">
        <f t="shared" ref="D9:I9" si="3">SUM(D7:D8)</f>
        <v>7.1875</v>
      </c>
      <c r="E9" s="38">
        <f t="shared" si="3"/>
        <v>17.594999999999999</v>
      </c>
      <c r="F9" s="38">
        <f t="shared" si="3"/>
        <v>31.670568750000001</v>
      </c>
      <c r="G9" s="38">
        <f t="shared" si="3"/>
        <v>49.670674937499996</v>
      </c>
      <c r="H9" s="38">
        <f t="shared" si="3"/>
        <v>71.910997961250004</v>
      </c>
      <c r="I9" s="38">
        <f t="shared" si="3"/>
        <v>98.725412155162502</v>
      </c>
    </row>
    <row r="10" spans="1:9">
      <c r="A10" s="12" t="s">
        <v>188</v>
      </c>
      <c r="B10" s="38">
        <f t="shared" ref="B10:I10" si="4">B6+B9</f>
        <v>1561</v>
      </c>
      <c r="C10" s="38">
        <f t="shared" si="4"/>
        <v>1660</v>
      </c>
      <c r="D10" s="38">
        <f t="shared" si="4"/>
        <v>1783.3875</v>
      </c>
      <c r="E10" s="38">
        <f t="shared" si="4"/>
        <v>1918.1290000000001</v>
      </c>
      <c r="F10" s="38">
        <f t="shared" si="4"/>
        <v>2055.7392787499998</v>
      </c>
      <c r="G10" s="38">
        <f t="shared" si="4"/>
        <v>2195.1835075374997</v>
      </c>
      <c r="H10" s="38">
        <f t="shared" si="4"/>
        <v>2335.4270363542496</v>
      </c>
      <c r="I10" s="38">
        <f t="shared" si="4"/>
        <v>2475.417252467812</v>
      </c>
    </row>
    <row r="11" spans="1:9">
      <c r="A11" s="3" t="s">
        <v>189</v>
      </c>
      <c r="B11" s="33"/>
      <c r="C11" s="16">
        <f t="shared" ref="C11:I11" si="5">C10/B10-1</f>
        <v>6.3420884048686732E-2</v>
      </c>
      <c r="D11" s="26">
        <f t="shared" si="5"/>
        <v>7.4329819277108466E-2</v>
      </c>
      <c r="E11" s="26">
        <f t="shared" si="5"/>
        <v>7.5553686453448954E-2</v>
      </c>
      <c r="F11" s="26">
        <f t="shared" si="5"/>
        <v>7.1741931199621911E-2</v>
      </c>
      <c r="G11" s="26">
        <f t="shared" si="5"/>
        <v>6.783167020688019E-2</v>
      </c>
      <c r="H11" s="26">
        <f t="shared" si="5"/>
        <v>6.3886927145362593E-2</v>
      </c>
      <c r="I11" s="26">
        <f t="shared" si="5"/>
        <v>5.9942020852895572E-2</v>
      </c>
    </row>
    <row r="12" spans="1:9">
      <c r="A12" s="3"/>
      <c r="B12" s="33"/>
      <c r="C12" s="33"/>
      <c r="D12" s="34"/>
      <c r="E12" s="34"/>
      <c r="F12" s="34"/>
      <c r="G12" s="34"/>
      <c r="H12" s="34"/>
      <c r="I12" s="34"/>
    </row>
    <row r="13" spans="1:9">
      <c r="A13" s="8" t="s">
        <v>190</v>
      </c>
      <c r="B13" s="35"/>
      <c r="C13" s="35"/>
      <c r="D13" s="36"/>
      <c r="E13" s="36"/>
      <c r="F13" s="36"/>
      <c r="G13" s="36"/>
      <c r="H13" s="36"/>
      <c r="I13" s="36"/>
    </row>
    <row r="14" spans="1:9">
      <c r="A14" s="3" t="s">
        <v>191</v>
      </c>
      <c r="B14" s="33"/>
      <c r="C14" s="33"/>
      <c r="D14" s="34">
        <v>10000</v>
      </c>
      <c r="E14" s="34">
        <f>D14*(1+E26)</f>
        <v>10300</v>
      </c>
      <c r="F14" s="34">
        <f>E14*(1+F26)</f>
        <v>10609</v>
      </c>
      <c r="G14" s="34">
        <f>F14*(1+G26)</f>
        <v>10927.27</v>
      </c>
      <c r="H14" s="34">
        <f>G14*(1+H26)</f>
        <v>11255.088100000001</v>
      </c>
      <c r="I14" s="34">
        <f>H14*(1+I26)</f>
        <v>11592.740743</v>
      </c>
    </row>
    <row r="15" spans="1:9">
      <c r="A15" s="3" t="s">
        <v>192</v>
      </c>
      <c r="B15" s="16">
        <v>0</v>
      </c>
      <c r="C15" s="16">
        <v>0</v>
      </c>
      <c r="D15" s="16">
        <v>0.04</v>
      </c>
      <c r="E15" s="16">
        <v>0.08</v>
      </c>
      <c r="F15" s="16">
        <v>0.13</v>
      </c>
      <c r="G15" s="16">
        <v>0.19</v>
      </c>
      <c r="H15" s="16">
        <v>0.26</v>
      </c>
      <c r="I15" s="16">
        <v>0.34</v>
      </c>
    </row>
    <row r="16" spans="1:9">
      <c r="A16" s="3" t="s">
        <v>193</v>
      </c>
      <c r="B16" s="33">
        <v>0</v>
      </c>
      <c r="C16" s="33">
        <v>0</v>
      </c>
      <c r="D16" s="34">
        <f t="shared" ref="D16:I16" si="6">D14*D15</f>
        <v>400</v>
      </c>
      <c r="E16" s="34">
        <f t="shared" si="6"/>
        <v>824</v>
      </c>
      <c r="F16" s="34">
        <f t="shared" si="6"/>
        <v>1379.17</v>
      </c>
      <c r="G16" s="34">
        <f t="shared" si="6"/>
        <v>2076.1813000000002</v>
      </c>
      <c r="H16" s="34">
        <f t="shared" si="6"/>
        <v>2926.3229060000003</v>
      </c>
      <c r="I16" s="34">
        <f t="shared" si="6"/>
        <v>3941.5318526200003</v>
      </c>
    </row>
    <row r="17" spans="1:9">
      <c r="A17" s="3" t="s">
        <v>194</v>
      </c>
      <c r="B17" s="33">
        <v>0</v>
      </c>
      <c r="C17" s="33">
        <v>0</v>
      </c>
      <c r="D17" s="34">
        <v>250</v>
      </c>
      <c r="E17" s="34">
        <f>AVERAGE(D16,E16)</f>
        <v>612</v>
      </c>
      <c r="F17" s="34">
        <f>AVERAGE(E16,F16)</f>
        <v>1101.585</v>
      </c>
      <c r="G17" s="34">
        <f>AVERAGE(F16,G16)</f>
        <v>1727.6756500000001</v>
      </c>
      <c r="H17" s="34">
        <f>AVERAGE(G16,H16)</f>
        <v>2501.2521030000003</v>
      </c>
      <c r="I17" s="34">
        <f>AVERAGE(H16,I16)</f>
        <v>3433.9273793100001</v>
      </c>
    </row>
    <row r="18" spans="1:9">
      <c r="A18" s="3" t="s">
        <v>195</v>
      </c>
      <c r="B18" s="37">
        <v>0</v>
      </c>
      <c r="C18" s="37">
        <v>0</v>
      </c>
      <c r="D18" s="37">
        <v>25000</v>
      </c>
      <c r="E18" s="37">
        <v>25000</v>
      </c>
      <c r="F18" s="37">
        <v>25000</v>
      </c>
      <c r="G18" s="37">
        <v>25000</v>
      </c>
      <c r="H18" s="37">
        <v>25000</v>
      </c>
      <c r="I18" s="37">
        <v>25000</v>
      </c>
    </row>
    <row r="19" spans="1:9">
      <c r="A19" s="3" t="s">
        <v>196</v>
      </c>
      <c r="B19" s="16">
        <v>0</v>
      </c>
      <c r="C19" s="16">
        <v>0</v>
      </c>
      <c r="D19" s="16">
        <v>0.15</v>
      </c>
      <c r="E19" s="16">
        <v>0.15</v>
      </c>
      <c r="F19" s="16">
        <v>0.15</v>
      </c>
      <c r="G19" s="16">
        <v>0.15</v>
      </c>
      <c r="H19" s="16">
        <v>0.15</v>
      </c>
      <c r="I19" s="16">
        <v>0.15</v>
      </c>
    </row>
    <row r="20" spans="1:9">
      <c r="A20" s="3"/>
      <c r="B20" s="33"/>
      <c r="C20" s="33"/>
      <c r="D20" s="34"/>
      <c r="E20" s="34"/>
      <c r="F20" s="34"/>
      <c r="G20" s="34"/>
      <c r="H20" s="34"/>
      <c r="I20" s="34"/>
    </row>
    <row r="21" spans="1:9">
      <c r="A21" s="8" t="s">
        <v>197</v>
      </c>
      <c r="B21" s="35"/>
      <c r="C21" s="35"/>
      <c r="D21" s="36"/>
      <c r="E21" s="36"/>
      <c r="F21" s="36"/>
      <c r="G21" s="36"/>
      <c r="H21" s="36"/>
      <c r="I21" s="36"/>
    </row>
    <row r="22" spans="1:9">
      <c r="A22" s="3" t="s">
        <v>198</v>
      </c>
      <c r="B22" s="16">
        <v>0.11</v>
      </c>
      <c r="C22" s="16">
        <v>0.11</v>
      </c>
      <c r="D22" s="16">
        <v>0.125</v>
      </c>
      <c r="E22" s="16">
        <v>0.125</v>
      </c>
      <c r="F22" s="16">
        <v>0.125</v>
      </c>
      <c r="G22" s="16">
        <v>0.125</v>
      </c>
      <c r="H22" s="16">
        <v>0.125</v>
      </c>
      <c r="I22" s="16">
        <v>0.125</v>
      </c>
    </row>
    <row r="23" spans="1:9">
      <c r="A23" s="12" t="s">
        <v>199</v>
      </c>
      <c r="B23" s="38">
        <f t="shared" ref="B23:I23" si="7">B6*B22</f>
        <v>171.71</v>
      </c>
      <c r="C23" s="38">
        <f t="shared" si="7"/>
        <v>182.6</v>
      </c>
      <c r="D23" s="38">
        <f t="shared" si="7"/>
        <v>222.02500000000001</v>
      </c>
      <c r="E23" s="38">
        <f t="shared" si="7"/>
        <v>237.56675000000001</v>
      </c>
      <c r="F23" s="38">
        <f t="shared" si="7"/>
        <v>253.00858875</v>
      </c>
      <c r="G23" s="38">
        <f t="shared" si="7"/>
        <v>268.18910407499999</v>
      </c>
      <c r="H23" s="38">
        <f t="shared" si="7"/>
        <v>282.93950479912496</v>
      </c>
      <c r="I23" s="38">
        <f t="shared" si="7"/>
        <v>297.08648003908121</v>
      </c>
    </row>
    <row r="24" spans="1:9">
      <c r="A24" s="3" t="s">
        <v>200</v>
      </c>
      <c r="B24" s="16">
        <v>0</v>
      </c>
      <c r="C24" s="16">
        <v>0.08</v>
      </c>
      <c r="D24" s="16">
        <v>0.08</v>
      </c>
      <c r="E24" s="16">
        <v>0.08</v>
      </c>
      <c r="F24" s="16">
        <v>0.08</v>
      </c>
      <c r="G24" s="16">
        <v>0.08</v>
      </c>
      <c r="H24" s="16">
        <v>0.08</v>
      </c>
      <c r="I24" s="16">
        <v>0.08</v>
      </c>
    </row>
    <row r="25" spans="1:9">
      <c r="A25" s="3" t="s">
        <v>201</v>
      </c>
      <c r="B25" s="16"/>
      <c r="C25" s="16">
        <v>7.0000000000000007E-2</v>
      </c>
      <c r="D25" s="16">
        <v>7.0000000000000007E-2</v>
      </c>
      <c r="E25" s="16">
        <v>7.0000000000000007E-2</v>
      </c>
      <c r="F25" s="16">
        <v>6.5000000000000002E-2</v>
      </c>
      <c r="G25" s="16">
        <v>0.06</v>
      </c>
      <c r="H25" s="16">
        <v>5.5E-2</v>
      </c>
      <c r="I25" s="16">
        <v>0.05</v>
      </c>
    </row>
    <row r="26" spans="1:9">
      <c r="A26" s="3" t="s">
        <v>202</v>
      </c>
      <c r="B26" s="16"/>
      <c r="C26" s="16"/>
      <c r="D26" s="16">
        <v>0.03</v>
      </c>
      <c r="E26" s="16">
        <v>0.03</v>
      </c>
      <c r="F26" s="16">
        <v>0.03</v>
      </c>
      <c r="G26" s="16">
        <v>0.03</v>
      </c>
      <c r="H26" s="16">
        <v>0.03</v>
      </c>
      <c r="I26" s="16">
        <v>0.03</v>
      </c>
    </row>
    <row r="27" spans="1:9">
      <c r="A27" s="3" t="s">
        <v>203</v>
      </c>
      <c r="B27" s="33">
        <f t="shared" ref="B27:I27" si="8">B23*B24</f>
        <v>0</v>
      </c>
      <c r="C27" s="33">
        <f t="shared" si="8"/>
        <v>14.608000000000001</v>
      </c>
      <c r="D27" s="34">
        <f t="shared" si="8"/>
        <v>17.762</v>
      </c>
      <c r="E27" s="34">
        <f t="shared" si="8"/>
        <v>19.00534</v>
      </c>
      <c r="F27" s="34">
        <f t="shared" si="8"/>
        <v>20.240687099999999</v>
      </c>
      <c r="G27" s="34">
        <f t="shared" si="8"/>
        <v>21.455128326000001</v>
      </c>
      <c r="H27" s="34">
        <f t="shared" si="8"/>
        <v>22.635160383929996</v>
      </c>
      <c r="I27" s="34">
        <f t="shared" si="8"/>
        <v>23.766918403126496</v>
      </c>
    </row>
    <row r="28" spans="1:9">
      <c r="A28" s="3" t="s">
        <v>204</v>
      </c>
      <c r="B28" s="16">
        <v>0.15</v>
      </c>
      <c r="C28" s="16">
        <v>0.15</v>
      </c>
      <c r="D28" s="16">
        <v>0.15</v>
      </c>
      <c r="E28" s="16">
        <v>0.15</v>
      </c>
      <c r="F28" s="16">
        <v>0.15</v>
      </c>
      <c r="G28" s="16">
        <v>0.15</v>
      </c>
      <c r="H28" s="16">
        <v>0.15</v>
      </c>
      <c r="I28" s="16">
        <v>0.15</v>
      </c>
    </row>
    <row r="29" spans="1:9">
      <c r="A29" s="3" t="s">
        <v>205</v>
      </c>
      <c r="B29" s="33">
        <f t="shared" ref="B29:I29" si="9">B7*B28</f>
        <v>0</v>
      </c>
      <c r="C29" s="33">
        <f t="shared" si="9"/>
        <v>0</v>
      </c>
      <c r="D29" s="34">
        <f t="shared" si="9"/>
        <v>0.9375</v>
      </c>
      <c r="E29" s="34">
        <f t="shared" si="9"/>
        <v>2.2949999999999999</v>
      </c>
      <c r="F29" s="34">
        <f t="shared" si="9"/>
        <v>4.1309437500000001</v>
      </c>
      <c r="G29" s="34">
        <f t="shared" si="9"/>
        <v>6.4787836874999991</v>
      </c>
      <c r="H29" s="34">
        <f t="shared" si="9"/>
        <v>9.3796953862500008</v>
      </c>
      <c r="I29" s="34">
        <f t="shared" si="9"/>
        <v>12.8772276724125</v>
      </c>
    </row>
    <row r="30" spans="1:9">
      <c r="A30" s="3" t="s">
        <v>206</v>
      </c>
      <c r="B30" s="33">
        <v>0</v>
      </c>
      <c r="C30" s="33">
        <v>3</v>
      </c>
      <c r="D30" s="33">
        <v>5</v>
      </c>
      <c r="E30" s="34">
        <f>D30*1.03</f>
        <v>5.15</v>
      </c>
      <c r="F30" s="34">
        <f>E30*1.03</f>
        <v>5.3045000000000009</v>
      </c>
      <c r="G30" s="34">
        <f>F30*1.03</f>
        <v>5.4636350000000009</v>
      </c>
      <c r="H30" s="34">
        <f>G30*1.03</f>
        <v>5.6275440500000009</v>
      </c>
      <c r="I30" s="34">
        <f>H30*1.03</f>
        <v>5.796370371500001</v>
      </c>
    </row>
    <row r="31" spans="1:9">
      <c r="A31" s="12" t="s">
        <v>207</v>
      </c>
      <c r="B31" s="38">
        <f t="shared" ref="B31:I31" si="10">SUM(B27,B29,B30)</f>
        <v>0</v>
      </c>
      <c r="C31" s="38">
        <f t="shared" si="10"/>
        <v>17.608000000000001</v>
      </c>
      <c r="D31" s="38">
        <f t="shared" si="10"/>
        <v>23.6995</v>
      </c>
      <c r="E31" s="38">
        <f t="shared" si="10"/>
        <v>26.450339999999997</v>
      </c>
      <c r="F31" s="38">
        <f t="shared" si="10"/>
        <v>29.67613085</v>
      </c>
      <c r="G31" s="38">
        <f t="shared" si="10"/>
        <v>33.397547013500002</v>
      </c>
      <c r="H31" s="38">
        <f t="shared" si="10"/>
        <v>37.642399820180003</v>
      </c>
      <c r="I31" s="38">
        <f t="shared" si="10"/>
        <v>42.440516447039002</v>
      </c>
    </row>
    <row r="32" spans="1:9">
      <c r="A32" s="3" t="s">
        <v>208</v>
      </c>
      <c r="B32" s="33">
        <f t="shared" ref="B32:I32" si="11">B9-B31</f>
        <v>0</v>
      </c>
      <c r="C32" s="33">
        <f t="shared" si="11"/>
        <v>-17.608000000000001</v>
      </c>
      <c r="D32" s="34">
        <f t="shared" si="11"/>
        <v>-16.512</v>
      </c>
      <c r="E32" s="34">
        <f t="shared" si="11"/>
        <v>-8.8553399999999982</v>
      </c>
      <c r="F32" s="34">
        <f t="shared" si="11"/>
        <v>1.9944379000000012</v>
      </c>
      <c r="G32" s="34">
        <f t="shared" si="11"/>
        <v>16.273127923999994</v>
      </c>
      <c r="H32" s="34">
        <f t="shared" si="11"/>
        <v>34.268598141070001</v>
      </c>
      <c r="I32" s="34">
        <f t="shared" si="11"/>
        <v>56.2848957081235</v>
      </c>
    </row>
    <row r="33" spans="1:9">
      <c r="A33" s="3" t="s">
        <v>209</v>
      </c>
      <c r="B33" s="33">
        <f t="shared" ref="B33:I33" si="12">IF(B32&gt;0,B32*23.6%,0)</f>
        <v>0</v>
      </c>
      <c r="C33" s="33">
        <f t="shared" si="12"/>
        <v>0</v>
      </c>
      <c r="D33" s="34">
        <f t="shared" si="12"/>
        <v>0</v>
      </c>
      <c r="E33" s="34">
        <f t="shared" si="12"/>
        <v>0</v>
      </c>
      <c r="F33" s="34">
        <f t="shared" si="12"/>
        <v>0.47068734440000032</v>
      </c>
      <c r="G33" s="34">
        <f t="shared" si="12"/>
        <v>3.8404581900639987</v>
      </c>
      <c r="H33" s="34">
        <f t="shared" si="12"/>
        <v>8.0873891612925206</v>
      </c>
      <c r="I33" s="34">
        <f t="shared" si="12"/>
        <v>13.283235387117147</v>
      </c>
    </row>
    <row r="34" spans="1:9">
      <c r="A34" s="12" t="s">
        <v>210</v>
      </c>
      <c r="B34" s="38">
        <f t="shared" ref="B34:I34" si="13">B32-B33</f>
        <v>0</v>
      </c>
      <c r="C34" s="38">
        <f t="shared" si="13"/>
        <v>-17.608000000000001</v>
      </c>
      <c r="D34" s="38">
        <f t="shared" si="13"/>
        <v>-16.512</v>
      </c>
      <c r="E34" s="38">
        <f t="shared" si="13"/>
        <v>-8.8553399999999982</v>
      </c>
      <c r="F34" s="38">
        <f t="shared" si="13"/>
        <v>1.5237505556000008</v>
      </c>
      <c r="G34" s="38">
        <f t="shared" si="13"/>
        <v>12.432669733935995</v>
      </c>
      <c r="H34" s="38">
        <f t="shared" si="13"/>
        <v>26.18120897977748</v>
      </c>
      <c r="I34" s="38">
        <f t="shared" si="13"/>
        <v>43.001660321006355</v>
      </c>
    </row>
    <row r="35" spans="1:9">
      <c r="A35" s="12" t="s">
        <v>211</v>
      </c>
      <c r="B35" s="38"/>
      <c r="C35" s="39">
        <f>(SUM($C$9:C9)-SUM($C$31:C31))/SUM($C$31:C31)</f>
        <v>-1</v>
      </c>
      <c r="D35" s="39">
        <f>(SUM($C$9:D9)-SUM($C$31:D31))/SUM($C$31:D31)</f>
        <v>-0.82600012104339404</v>
      </c>
      <c r="E35" s="39">
        <f>(SUM($C$9:E9)-SUM($C$31:E31))/SUM($C$31:E31)</f>
        <v>-0.63424896661404795</v>
      </c>
      <c r="F35" s="39">
        <f>(SUM($C$9:F9)-SUM($C$31:F31))/SUM($C$31:F31)</f>
        <v>-0.42060178541927923</v>
      </c>
      <c r="G35" s="39">
        <f>(SUM($C$9:G9)-SUM($C$31:G31))/SUM($C$31:G31)</f>
        <v>-0.1888518499172217</v>
      </c>
      <c r="H35" s="39">
        <f>(SUM($C$9:H9)-SUM($C$31:H31))/SUM($C$31:H31)</f>
        <v>5.6749579380121179E-2</v>
      </c>
      <c r="I35" s="39">
        <f>(SUM($C$9:I9)-SUM($C$31:I31))/SUM($C$31:I31)</f>
        <v>0.31219162379557258</v>
      </c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>
      <selection activeCell="L27" sqref="L27"/>
    </sheetView>
  </sheetViews>
  <sheetFormatPr baseColWidth="10" defaultColWidth="8.83203125" defaultRowHeight="15"/>
  <cols>
    <col min="1" max="1" width="38" customWidth="1"/>
    <col min="2" max="8" width="12" customWidth="1"/>
  </cols>
  <sheetData>
    <row r="1" spans="1:8">
      <c r="A1" s="3"/>
      <c r="B1" s="3"/>
      <c r="C1" s="3"/>
      <c r="D1" s="3"/>
      <c r="E1" s="3"/>
      <c r="F1" s="3"/>
      <c r="G1" s="3"/>
      <c r="H1" s="3"/>
    </row>
    <row r="2" spans="1:8" ht="18">
      <c r="A2" s="5" t="s">
        <v>212</v>
      </c>
      <c r="B2" s="3"/>
      <c r="C2" s="3"/>
      <c r="D2" s="3"/>
      <c r="E2" s="3"/>
      <c r="F2" s="3"/>
      <c r="G2" s="3"/>
      <c r="H2" s="3"/>
    </row>
    <row r="3" spans="1:8">
      <c r="A3" s="3" t="s">
        <v>213</v>
      </c>
      <c r="B3" s="3"/>
      <c r="C3" s="3"/>
      <c r="D3" s="3"/>
      <c r="E3" s="3"/>
      <c r="F3" s="3"/>
      <c r="G3" s="3"/>
      <c r="H3" s="3"/>
    </row>
    <row r="4" spans="1:8">
      <c r="A4" s="3" t="s">
        <v>214</v>
      </c>
      <c r="B4" s="3"/>
      <c r="C4" s="3" t="s">
        <v>11</v>
      </c>
      <c r="D4" s="3"/>
      <c r="E4" s="3" t="s">
        <v>215</v>
      </c>
      <c r="F4" s="3">
        <f>WACC!E21</f>
        <v>7.9826599999999998E-2</v>
      </c>
      <c r="G4" s="3"/>
      <c r="H4" s="3"/>
    </row>
    <row r="5" spans="1:8">
      <c r="A5" s="3" t="s">
        <v>216</v>
      </c>
      <c r="B5" s="3"/>
      <c r="C5" s="3" t="s">
        <v>98</v>
      </c>
      <c r="D5" s="3"/>
      <c r="E5" s="3" t="s">
        <v>217</v>
      </c>
      <c r="F5" s="6">
        <v>2.5000000000000001E-2</v>
      </c>
      <c r="G5" s="3"/>
      <c r="H5" s="3"/>
    </row>
    <row r="6" spans="1:8">
      <c r="A6" s="3" t="s">
        <v>218</v>
      </c>
      <c r="B6" s="3"/>
      <c r="C6" s="3" t="s">
        <v>219</v>
      </c>
      <c r="D6" s="3"/>
      <c r="E6" s="3" t="s">
        <v>220</v>
      </c>
      <c r="F6" s="6">
        <v>12</v>
      </c>
      <c r="G6" s="3"/>
      <c r="H6" s="3"/>
    </row>
    <row r="7" spans="1:8">
      <c r="A7" s="3" t="s">
        <v>221</v>
      </c>
      <c r="B7" s="3"/>
      <c r="C7" s="3" t="s">
        <v>222</v>
      </c>
      <c r="D7" s="3"/>
      <c r="E7" s="3" t="s">
        <v>223</v>
      </c>
      <c r="F7" s="3">
        <f>DCF!B49</f>
        <v>14.817892285482351</v>
      </c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8" t="s">
        <v>224</v>
      </c>
      <c r="B10" s="8"/>
      <c r="C10" s="8"/>
      <c r="D10" s="8"/>
      <c r="E10" s="8"/>
      <c r="F10" s="8"/>
      <c r="G10" s="8"/>
      <c r="H10" s="8"/>
    </row>
    <row r="11" spans="1:8">
      <c r="A11" s="3"/>
      <c r="B11" s="3" t="s">
        <v>11</v>
      </c>
      <c r="C11" s="3" t="s">
        <v>98</v>
      </c>
      <c r="D11" s="3" t="s">
        <v>99</v>
      </c>
      <c r="E11" s="3" t="s">
        <v>100</v>
      </c>
      <c r="F11" s="3" t="s">
        <v>101</v>
      </c>
      <c r="G11" s="3" t="s">
        <v>102</v>
      </c>
      <c r="H11" s="3" t="s">
        <v>103</v>
      </c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 t="s">
        <v>19</v>
      </c>
      <c r="B13" s="40">
        <f>Forecast!C17</f>
        <v>6125</v>
      </c>
      <c r="C13" s="40">
        <f>Forecast!D17</f>
        <v>6431.25</v>
      </c>
      <c r="D13" s="40">
        <f>Forecast!E17</f>
        <v>6813.9093749999993</v>
      </c>
      <c r="E13" s="40">
        <f>Forecast!F17</f>
        <v>7203.6649912499988</v>
      </c>
      <c r="F13" s="40">
        <f>Forecast!G17</f>
        <v>7591.2221677792495</v>
      </c>
      <c r="G13" s="40">
        <f>Forecast!H17</f>
        <v>7969.265031734657</v>
      </c>
      <c r="H13" s="40">
        <f>Forecast!I17</f>
        <v>8333.4604436849313</v>
      </c>
    </row>
    <row r="14" spans="1:8">
      <c r="A14" s="3" t="s">
        <v>189</v>
      </c>
      <c r="B14" s="40"/>
      <c r="C14" s="25">
        <f t="shared" ref="C14:H14" si="0">C13/B13-1</f>
        <v>5.0000000000000044E-2</v>
      </c>
      <c r="D14" s="25">
        <f t="shared" si="0"/>
        <v>5.9499999999999886E-2</v>
      </c>
      <c r="E14" s="25">
        <f t="shared" si="0"/>
        <v>5.7199999999999918E-2</v>
      </c>
      <c r="F14" s="25">
        <f t="shared" si="0"/>
        <v>5.380000000000007E-2</v>
      </c>
      <c r="G14" s="25">
        <f t="shared" si="0"/>
        <v>4.9800000000000066E-2</v>
      </c>
      <c r="H14" s="25">
        <f t="shared" si="0"/>
        <v>4.5700000000000074E-2</v>
      </c>
    </row>
    <row r="15" spans="1:8">
      <c r="A15" s="3" t="s">
        <v>35</v>
      </c>
      <c r="B15" s="40">
        <f>Forecast!C35</f>
        <v>2007</v>
      </c>
      <c r="C15" s="40">
        <f>Forecast!D35</f>
        <v>2135.1750000000002</v>
      </c>
      <c r="D15" s="40">
        <f>Forecast!E35</f>
        <v>2289.4735499999997</v>
      </c>
      <c r="E15" s="40">
        <f>Forecast!F35</f>
        <v>2442.0424320337497</v>
      </c>
      <c r="F15" s="40">
        <f>Forecast!G35</f>
        <v>2603.7892035482823</v>
      </c>
      <c r="G15" s="40">
        <f>Forecast!H35</f>
        <v>2749.3964359484567</v>
      </c>
      <c r="H15" s="40">
        <f>Forecast!I35</f>
        <v>2891.7107739586713</v>
      </c>
    </row>
    <row r="16" spans="1:8">
      <c r="A16" s="3" t="s">
        <v>225</v>
      </c>
      <c r="B16" s="25">
        <f t="shared" ref="B16:H16" si="1">B15/B13</f>
        <v>0.3276734693877551</v>
      </c>
      <c r="C16" s="25">
        <f t="shared" si="1"/>
        <v>0.33200000000000002</v>
      </c>
      <c r="D16" s="25">
        <f t="shared" si="1"/>
        <v>0.33599999999999997</v>
      </c>
      <c r="E16" s="25">
        <f t="shared" si="1"/>
        <v>0.33900000000000002</v>
      </c>
      <c r="F16" s="25">
        <f t="shared" si="1"/>
        <v>0.34299999999999997</v>
      </c>
      <c r="G16" s="25">
        <f t="shared" si="1"/>
        <v>0.34499999999999997</v>
      </c>
      <c r="H16" s="25">
        <f t="shared" si="1"/>
        <v>0.34700000000000003</v>
      </c>
    </row>
    <row r="17" spans="1:8">
      <c r="A17" s="3" t="s">
        <v>226</v>
      </c>
      <c r="B17" s="25">
        <f>Forecast!C24</f>
        <v>1735</v>
      </c>
      <c r="C17" s="25">
        <f>Forecast!D24</f>
        <v>1639.9687500000002</v>
      </c>
      <c r="D17" s="25">
        <f>Forecast!E24</f>
        <v>1771.6164375000001</v>
      </c>
      <c r="E17" s="25">
        <f>Forecast!F24</f>
        <v>1908.9712226812496</v>
      </c>
      <c r="F17" s="25">
        <f>Forecast!G24</f>
        <v>2049.6299853003966</v>
      </c>
      <c r="G17" s="25">
        <f>Forecast!H24</f>
        <v>2183.5786186952964</v>
      </c>
      <c r="H17" s="25">
        <f>Forecast!I24</f>
        <v>2308.368542900726</v>
      </c>
    </row>
    <row r="18" spans="1:8">
      <c r="A18" s="3" t="s">
        <v>225</v>
      </c>
      <c r="B18" s="25">
        <f t="shared" ref="B18:H18" si="2">B17/B13</f>
        <v>0.28326530612244899</v>
      </c>
      <c r="C18" s="25">
        <f t="shared" si="2"/>
        <v>0.25500000000000006</v>
      </c>
      <c r="D18" s="25">
        <f t="shared" si="2"/>
        <v>0.26000000000000006</v>
      </c>
      <c r="E18" s="25">
        <f t="shared" si="2"/>
        <v>0.26500000000000001</v>
      </c>
      <c r="F18" s="25">
        <f t="shared" si="2"/>
        <v>0.26999999999999991</v>
      </c>
      <c r="G18" s="25">
        <f t="shared" si="2"/>
        <v>0.27400000000000008</v>
      </c>
      <c r="H18" s="25">
        <f t="shared" si="2"/>
        <v>0.27700000000000002</v>
      </c>
    </row>
    <row r="19" spans="1:8">
      <c r="A19" s="3"/>
      <c r="B19" s="40"/>
      <c r="C19" s="40"/>
      <c r="D19" s="40"/>
      <c r="E19" s="40"/>
      <c r="F19" s="40"/>
      <c r="G19" s="40"/>
      <c r="H19" s="40"/>
    </row>
    <row r="20" spans="1:8">
      <c r="A20" s="3" t="s">
        <v>227</v>
      </c>
      <c r="B20" s="40">
        <f t="shared" ref="B20:H20" si="3">-B17*21%</f>
        <v>-364.34999999999997</v>
      </c>
      <c r="C20" s="40">
        <f t="shared" si="3"/>
        <v>-344.39343750000006</v>
      </c>
      <c r="D20" s="40">
        <f t="shared" si="3"/>
        <v>-372.039451875</v>
      </c>
      <c r="E20" s="40">
        <f t="shared" si="3"/>
        <v>-400.88395676306243</v>
      </c>
      <c r="F20" s="40">
        <f t="shared" si="3"/>
        <v>-430.42229691308324</v>
      </c>
      <c r="G20" s="40">
        <f t="shared" si="3"/>
        <v>-458.55150992601222</v>
      </c>
      <c r="H20" s="40">
        <f t="shared" si="3"/>
        <v>-484.75739400915245</v>
      </c>
    </row>
    <row r="21" spans="1:8">
      <c r="A21" s="3" t="s">
        <v>167</v>
      </c>
      <c r="B21" s="25">
        <v>0.21</v>
      </c>
      <c r="C21" s="25">
        <v>0.21</v>
      </c>
      <c r="D21" s="25">
        <v>0.21</v>
      </c>
      <c r="E21" s="25">
        <v>0.21</v>
      </c>
      <c r="F21" s="25">
        <v>0.21</v>
      </c>
      <c r="G21" s="25">
        <v>0.21</v>
      </c>
      <c r="H21" s="25">
        <v>0.21</v>
      </c>
    </row>
    <row r="22" spans="1:8">
      <c r="A22" s="3" t="s">
        <v>228</v>
      </c>
      <c r="B22" s="40">
        <f t="shared" ref="B22:H22" si="4">B17+B20</f>
        <v>1370.65</v>
      </c>
      <c r="C22" s="40">
        <f t="shared" si="4"/>
        <v>1295.5753125000001</v>
      </c>
      <c r="D22" s="40">
        <f t="shared" si="4"/>
        <v>1399.5769856250001</v>
      </c>
      <c r="E22" s="40">
        <f t="shared" si="4"/>
        <v>1508.0872659181873</v>
      </c>
      <c r="F22" s="40">
        <f t="shared" si="4"/>
        <v>1619.2076883873133</v>
      </c>
      <c r="G22" s="40">
        <f t="shared" si="4"/>
        <v>1725.0271087692843</v>
      </c>
      <c r="H22" s="40">
        <f t="shared" si="4"/>
        <v>1823.6111488915735</v>
      </c>
    </row>
    <row r="23" spans="1:8">
      <c r="A23" s="3"/>
      <c r="B23" s="40"/>
      <c r="C23" s="40"/>
      <c r="D23" s="40"/>
      <c r="E23" s="40"/>
      <c r="F23" s="40"/>
      <c r="G23" s="40"/>
      <c r="H23" s="40"/>
    </row>
    <row r="24" spans="1:8">
      <c r="A24" s="3"/>
      <c r="B24" s="40"/>
      <c r="C24" s="40"/>
      <c r="D24" s="40"/>
      <c r="E24" s="40"/>
      <c r="F24" s="40"/>
      <c r="G24" s="40"/>
      <c r="H24" s="40"/>
    </row>
    <row r="25" spans="1:8">
      <c r="A25" s="3" t="s">
        <v>34</v>
      </c>
      <c r="B25" s="40">
        <f>Forecast!C32</f>
        <v>477</v>
      </c>
      <c r="C25" s="40">
        <f>Forecast!D32</f>
        <v>334.42500000000001</v>
      </c>
      <c r="D25" s="40">
        <f>Forecast!E32</f>
        <v>354.32328749999994</v>
      </c>
      <c r="E25" s="40">
        <f>Forecast!F32</f>
        <v>367.38691455374993</v>
      </c>
      <c r="F25" s="40">
        <f>Forecast!G32</f>
        <v>387.15233055674167</v>
      </c>
      <c r="G25" s="40">
        <f>Forecast!H32</f>
        <v>398.46325158673289</v>
      </c>
      <c r="H25" s="40">
        <f>Forecast!I32</f>
        <v>416.67302218424658</v>
      </c>
    </row>
    <row r="26" spans="1:8">
      <c r="A26" s="3" t="s">
        <v>229</v>
      </c>
      <c r="B26" s="40">
        <v>0</v>
      </c>
      <c r="C26" s="40">
        <f t="shared" ref="C26:H26" si="5">B31-C31</f>
        <v>103.96121575342477</v>
      </c>
      <c r="D26" s="40">
        <f t="shared" si="5"/>
        <v>100.65890319349296</v>
      </c>
      <c r="E26" s="40">
        <f t="shared" si="5"/>
        <v>102.29937576233192</v>
      </c>
      <c r="F26" s="40">
        <f t="shared" si="5"/>
        <v>101.75363898069691</v>
      </c>
      <c r="G26" s="40">
        <f t="shared" si="5"/>
        <v>99.291792497333063</v>
      </c>
      <c r="H26" s="40">
        <f t="shared" si="5"/>
        <v>95.693936705421038</v>
      </c>
    </row>
    <row r="27" spans="1:8">
      <c r="A27" s="3" t="s">
        <v>114</v>
      </c>
      <c r="B27" s="40">
        <f>-'Historical Data'!F80</f>
        <v>-305</v>
      </c>
      <c r="C27" s="40">
        <f>Forecast!D88</f>
        <v>-353.71875</v>
      </c>
      <c r="D27" s="40">
        <f>Forecast!E88</f>
        <v>-367.95110624999995</v>
      </c>
      <c r="E27" s="40">
        <f>Forecast!F88</f>
        <v>-381.79424453624995</v>
      </c>
      <c r="F27" s="40">
        <f>Forecast!G88</f>
        <v>-394.74355272452095</v>
      </c>
      <c r="G27" s="40">
        <f>Forecast!H88</f>
        <v>-406.4325166184675</v>
      </c>
      <c r="H27" s="40">
        <f>Forecast!I88</f>
        <v>-416.67302218424658</v>
      </c>
    </row>
    <row r="28" spans="1:8">
      <c r="A28" s="3" t="s">
        <v>230</v>
      </c>
      <c r="B28" s="25">
        <f t="shared" ref="B28:H28" si="6">-B27/B13</f>
        <v>4.9795918367346939E-2</v>
      </c>
      <c r="C28" s="25">
        <f t="shared" si="6"/>
        <v>5.5E-2</v>
      </c>
      <c r="D28" s="25">
        <f t="shared" si="6"/>
        <v>5.3999999999999999E-2</v>
      </c>
      <c r="E28" s="25">
        <f t="shared" si="6"/>
        <v>5.2999999999999999E-2</v>
      </c>
      <c r="F28" s="25">
        <f t="shared" si="6"/>
        <v>5.1999999999999998E-2</v>
      </c>
      <c r="G28" s="25">
        <f t="shared" si="6"/>
        <v>5.0999999999999997E-2</v>
      </c>
      <c r="H28" s="25">
        <f t="shared" si="6"/>
        <v>0.05</v>
      </c>
    </row>
    <row r="29" spans="1:8">
      <c r="A29" s="3"/>
      <c r="B29" s="40"/>
      <c r="C29" s="40"/>
      <c r="D29" s="40"/>
      <c r="E29" s="40"/>
      <c r="F29" s="40"/>
      <c r="G29" s="40"/>
      <c r="H29" s="40"/>
    </row>
    <row r="30" spans="1:8">
      <c r="A30" s="3" t="s">
        <v>231</v>
      </c>
      <c r="B30" s="40">
        <f t="shared" ref="B30:H30" si="7">SUM(B22,B25,B26,B27)</f>
        <v>1542.65</v>
      </c>
      <c r="C30" s="40">
        <f t="shared" si="7"/>
        <v>1380.2427782534248</v>
      </c>
      <c r="D30" s="40">
        <f t="shared" si="7"/>
        <v>1486.6080700684929</v>
      </c>
      <c r="E30" s="40">
        <f t="shared" si="7"/>
        <v>1595.979311698019</v>
      </c>
      <c r="F30" s="40">
        <f t="shared" si="7"/>
        <v>1713.3701052002309</v>
      </c>
      <c r="G30" s="40">
        <f t="shared" si="7"/>
        <v>1816.3496362348824</v>
      </c>
      <c r="H30" s="40">
        <f t="shared" si="7"/>
        <v>1919.3050855969948</v>
      </c>
    </row>
    <row r="31" spans="1:8">
      <c r="A31" s="3" t="s">
        <v>232</v>
      </c>
      <c r="B31" s="40">
        <f>'Historical Data'!F54+'Historical Data'!F55+'Historical Data'!F56-'Historical Data'!F62-'Historical Data'!F63-'Historical Data'!F64</f>
        <v>-1579</v>
      </c>
      <c r="C31" s="40">
        <f>Forecast!D52+Forecast!D53+Forecast!D54-Forecast!D60-Forecast!D61-Forecast!D62</f>
        <v>-1682.9612157534248</v>
      </c>
      <c r="D31" s="40">
        <f>Forecast!E52+Forecast!E53+Forecast!E54-Forecast!E60-Forecast!E61-Forecast!E62</f>
        <v>-1783.6201189469177</v>
      </c>
      <c r="E31" s="40">
        <f>Forecast!F52+Forecast!F53+Forecast!F54-Forecast!F60-Forecast!F61-Forecast!F62</f>
        <v>-1885.9194947092496</v>
      </c>
      <c r="F31" s="40">
        <f>Forecast!G52+Forecast!G53+Forecast!G54-Forecast!G60-Forecast!G61-Forecast!G62</f>
        <v>-1987.6731336899466</v>
      </c>
      <c r="G31" s="40">
        <f>Forecast!H52+Forecast!H53+Forecast!H54-Forecast!H60-Forecast!H61-Forecast!H62</f>
        <v>-2086.9649261872796</v>
      </c>
      <c r="H31" s="40">
        <f>Forecast!I52+Forecast!I53+Forecast!I54-Forecast!I60-Forecast!I61-Forecast!I62</f>
        <v>-2182.6588628927007</v>
      </c>
    </row>
    <row r="32" spans="1:8">
      <c r="A32" s="3" t="s">
        <v>230</v>
      </c>
      <c r="B32" s="25">
        <f t="shared" ref="B32:H32" si="8">B31/B13</f>
        <v>-0.25779591836734694</v>
      </c>
      <c r="C32" s="25">
        <f t="shared" si="8"/>
        <v>-0.26168493150684935</v>
      </c>
      <c r="D32" s="25">
        <f t="shared" si="8"/>
        <v>-0.26176164383561645</v>
      </c>
      <c r="E32" s="25">
        <f t="shared" si="8"/>
        <v>-0.26179999999999998</v>
      </c>
      <c r="F32" s="25">
        <f t="shared" si="8"/>
        <v>-0.2618383561643835</v>
      </c>
      <c r="G32" s="25">
        <f t="shared" si="8"/>
        <v>-0.26187671232876708</v>
      </c>
      <c r="H32" s="25">
        <f t="shared" si="8"/>
        <v>-0.26191506849315066</v>
      </c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8" t="s">
        <v>233</v>
      </c>
      <c r="B35" s="8"/>
      <c r="C35" s="8"/>
      <c r="D35" s="8"/>
      <c r="E35" s="8"/>
      <c r="F35" s="8"/>
      <c r="G35" s="8"/>
      <c r="H35" s="8"/>
    </row>
    <row r="36" spans="1:8">
      <c r="A36" s="3"/>
      <c r="B36" s="3" t="s">
        <v>11</v>
      </c>
      <c r="C36" s="3" t="s">
        <v>98</v>
      </c>
      <c r="D36" s="3" t="s">
        <v>99</v>
      </c>
      <c r="E36" s="3" t="s">
        <v>100</v>
      </c>
      <c r="F36" s="3" t="s">
        <v>101</v>
      </c>
      <c r="G36" s="3" t="s">
        <v>102</v>
      </c>
      <c r="H36" s="3" t="s">
        <v>103</v>
      </c>
    </row>
    <row r="37" spans="1:8">
      <c r="A37" s="3" t="s">
        <v>234</v>
      </c>
      <c r="B37" s="3">
        <v>0</v>
      </c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</row>
    <row r="38" spans="1:8">
      <c r="A38" s="3" t="s">
        <v>235</v>
      </c>
      <c r="B38" s="3">
        <f t="shared" ref="B38:H38" si="9">1/(1+$F$4)^B37</f>
        <v>1</v>
      </c>
      <c r="C38" s="3">
        <f t="shared" si="9"/>
        <v>0.9260746123497976</v>
      </c>
      <c r="D38" s="3">
        <f t="shared" si="9"/>
        <v>0.85761418763882791</v>
      </c>
      <c r="E38" s="3">
        <f t="shared" si="9"/>
        <v>0.79421472636331414</v>
      </c>
      <c r="F38" s="3">
        <f t="shared" si="9"/>
        <v>0.73550209483940676</v>
      </c>
      <c r="G38" s="3">
        <f t="shared" si="9"/>
        <v>0.68112981736086764</v>
      </c>
      <c r="H38" s="3">
        <f t="shared" si="9"/>
        <v>0.63077703157235387</v>
      </c>
    </row>
    <row r="39" spans="1:8">
      <c r="A39" s="3" t="s">
        <v>236</v>
      </c>
      <c r="B39" s="3">
        <f t="shared" ref="B39:H39" si="10">B30</f>
        <v>1542.65</v>
      </c>
      <c r="C39" s="3">
        <f t="shared" si="10"/>
        <v>1380.2427782534248</v>
      </c>
      <c r="D39" s="3">
        <f t="shared" si="10"/>
        <v>1486.6080700684929</v>
      </c>
      <c r="E39" s="3">
        <f t="shared" si="10"/>
        <v>1595.979311698019</v>
      </c>
      <c r="F39" s="3">
        <f t="shared" si="10"/>
        <v>1713.3701052002309</v>
      </c>
      <c r="G39" s="3">
        <f t="shared" si="10"/>
        <v>1816.3496362348824</v>
      </c>
      <c r="H39" s="3">
        <f t="shared" si="10"/>
        <v>1919.3050855969948</v>
      </c>
    </row>
    <row r="40" spans="1:8">
      <c r="A40" s="3" t="s">
        <v>233</v>
      </c>
      <c r="B40" s="3">
        <f t="shared" ref="B40:H40" si="11">B39*B38</f>
        <v>1542.65</v>
      </c>
      <c r="C40" s="3">
        <f t="shared" si="11"/>
        <v>1278.207795819648</v>
      </c>
      <c r="D40" s="3">
        <f t="shared" si="11"/>
        <v>1274.9361723491163</v>
      </c>
      <c r="E40" s="3">
        <f t="shared" si="11"/>
        <v>1267.5502723217526</v>
      </c>
      <c r="F40" s="3">
        <f t="shared" si="11"/>
        <v>1260.1873016099846</v>
      </c>
      <c r="G40" s="3">
        <f t="shared" si="11"/>
        <v>1237.1698959921439</v>
      </c>
      <c r="H40" s="3">
        <f t="shared" si="11"/>
        <v>1210.6535645745948</v>
      </c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8" t="s">
        <v>237</v>
      </c>
      <c r="B43" s="8"/>
      <c r="C43" s="8"/>
      <c r="D43" s="8"/>
      <c r="E43" s="8" t="s">
        <v>238</v>
      </c>
      <c r="F43" s="8"/>
      <c r="G43" s="8"/>
      <c r="H43" s="8"/>
    </row>
    <row r="44" spans="1:8">
      <c r="A44" s="3" t="s">
        <v>239</v>
      </c>
      <c r="B44" s="3">
        <f>$F$5</f>
        <v>2.5000000000000001E-2</v>
      </c>
      <c r="C44" s="3"/>
      <c r="D44" s="3"/>
      <c r="E44" s="3" t="s">
        <v>240</v>
      </c>
      <c r="F44" s="3"/>
      <c r="G44" s="3"/>
      <c r="H44" s="3">
        <f>H15</f>
        <v>2891.7107739586713</v>
      </c>
    </row>
    <row r="45" spans="1:8">
      <c r="A45" s="3" t="s">
        <v>241</v>
      </c>
      <c r="B45" s="3">
        <f>H30*(1+B44)</f>
        <v>1967.2877127369195</v>
      </c>
      <c r="C45" s="3"/>
      <c r="D45" s="3"/>
      <c r="E45" s="3" t="s">
        <v>242</v>
      </c>
      <c r="F45" s="3"/>
      <c r="G45" s="3"/>
      <c r="H45" s="3">
        <f>$F$6</f>
        <v>12</v>
      </c>
    </row>
    <row r="46" spans="1:8">
      <c r="A46" s="3" t="s">
        <v>243</v>
      </c>
      <c r="B46" s="3">
        <f>B45/($F$4-B44)</f>
        <v>35881.993644269744</v>
      </c>
      <c r="C46" s="3"/>
      <c r="D46" s="3"/>
      <c r="E46" s="3" t="s">
        <v>243</v>
      </c>
      <c r="F46" s="3"/>
      <c r="G46" s="3"/>
      <c r="H46" s="3">
        <f>H44*H45</f>
        <v>34700.529287504054</v>
      </c>
    </row>
    <row r="47" spans="1:8">
      <c r="A47" s="3" t="s">
        <v>244</v>
      </c>
      <c r="B47" s="3">
        <f>B46*H38</f>
        <v>22633.537437830539</v>
      </c>
      <c r="C47" s="3"/>
      <c r="D47" s="3"/>
      <c r="E47" s="3" t="s">
        <v>244</v>
      </c>
      <c r="F47" s="3"/>
      <c r="G47" s="3"/>
      <c r="H47" s="3">
        <f>H46*H38</f>
        <v>21888.296857961333</v>
      </c>
    </row>
    <row r="48" spans="1:8">
      <c r="A48" s="3" t="s">
        <v>245</v>
      </c>
      <c r="B48" s="3">
        <f>SUM(C40:H40)</f>
        <v>7528.7050026672405</v>
      </c>
      <c r="C48" s="3"/>
      <c r="D48" s="3"/>
      <c r="E48" s="3" t="s">
        <v>245</v>
      </c>
      <c r="F48" s="3"/>
      <c r="G48" s="3"/>
      <c r="H48" s="3">
        <f>B48</f>
        <v>7528.7050026672405</v>
      </c>
    </row>
    <row r="49" spans="1:8">
      <c r="A49" s="3" t="s">
        <v>246</v>
      </c>
      <c r="B49" s="3">
        <f>SUM(B47:B48)</f>
        <v>30162.242440497779</v>
      </c>
      <c r="C49" s="3"/>
      <c r="D49" s="3"/>
      <c r="E49" s="3" t="s">
        <v>247</v>
      </c>
      <c r="F49" s="3"/>
      <c r="G49" s="3"/>
      <c r="H49" s="3">
        <f>SUM(H47:H48)</f>
        <v>29417.001860628574</v>
      </c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8" t="s">
        <v>248</v>
      </c>
      <c r="B56" s="8"/>
      <c r="C56" s="8"/>
      <c r="D56" s="8"/>
      <c r="E56" s="8"/>
      <c r="F56" s="8"/>
      <c r="G56" s="8"/>
      <c r="H56" s="8"/>
    </row>
    <row r="57" spans="1:8">
      <c r="A57" s="3" t="s">
        <v>249</v>
      </c>
      <c r="B57" s="3" t="s">
        <v>87</v>
      </c>
      <c r="C57" s="3"/>
      <c r="D57" s="3"/>
      <c r="E57" s="3" t="s">
        <v>249</v>
      </c>
      <c r="F57" s="3" t="s">
        <v>250</v>
      </c>
      <c r="G57" s="3" t="s">
        <v>251</v>
      </c>
      <c r="H57" s="3"/>
    </row>
    <row r="58" spans="1:8">
      <c r="A58" s="3" t="s">
        <v>252</v>
      </c>
      <c r="B58" s="3">
        <f>'Historical Data'!F87</f>
        <v>4971</v>
      </c>
      <c r="C58" s="3"/>
      <c r="D58" s="3"/>
      <c r="E58" s="3" t="s">
        <v>253</v>
      </c>
      <c r="F58" s="3" t="s">
        <v>98</v>
      </c>
      <c r="G58" s="3">
        <f>Shares!D12</f>
        <v>228</v>
      </c>
      <c r="H58" s="3"/>
    </row>
    <row r="59" spans="1:8">
      <c r="A59" s="3" t="s">
        <v>254</v>
      </c>
      <c r="B59" s="3">
        <f>'Historical Data'!F53</f>
        <v>932</v>
      </c>
      <c r="C59" s="3"/>
      <c r="D59" s="3"/>
      <c r="E59" s="3" t="s">
        <v>255</v>
      </c>
      <c r="F59" s="3"/>
      <c r="G59" s="3">
        <f>G58</f>
        <v>228</v>
      </c>
      <c r="H59" s="3"/>
    </row>
    <row r="60" spans="1:8">
      <c r="A60" s="3" t="s">
        <v>256</v>
      </c>
      <c r="B60" s="3">
        <f>'Historical Data'!F93</f>
        <v>4024</v>
      </c>
      <c r="C60" s="3"/>
      <c r="D60" s="3"/>
      <c r="E60" s="3"/>
      <c r="F60" s="3"/>
      <c r="G60" s="3"/>
      <c r="H60" s="3"/>
    </row>
    <row r="61" spans="1:8">
      <c r="A61" s="3" t="s">
        <v>257</v>
      </c>
      <c r="B61" s="3">
        <f>DCF!B49</f>
        <v>14.817892285482351</v>
      </c>
      <c r="C61" s="3"/>
      <c r="D61" s="3"/>
      <c r="E61" s="3"/>
      <c r="F61" s="3"/>
      <c r="G61" s="3"/>
      <c r="H61" s="3"/>
    </row>
    <row r="62" spans="1:8">
      <c r="A62" s="3" t="s">
        <v>258</v>
      </c>
      <c r="B62" s="3">
        <f>B61/B49</f>
        <v>4.91272899046355E-4</v>
      </c>
      <c r="C62" s="3"/>
      <c r="D62" s="3"/>
      <c r="E62" s="3"/>
      <c r="F62" s="3"/>
      <c r="G62" s="3"/>
      <c r="H62" s="3"/>
    </row>
    <row r="63" spans="1:8">
      <c r="A63" s="3" t="s">
        <v>259</v>
      </c>
      <c r="B63" s="3">
        <f>B61/Shares!D12</f>
        <v>6.4990755638080488E-2</v>
      </c>
      <c r="C63" s="3"/>
      <c r="D63" s="3"/>
      <c r="E63" s="3"/>
      <c r="F63" s="3"/>
      <c r="G63" s="3"/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  <row r="65" spans="1:8">
      <c r="A65" s="3"/>
      <c r="B65" s="3"/>
      <c r="C65" s="3"/>
      <c r="D65" s="3"/>
      <c r="E65" s="3"/>
      <c r="F65" s="3"/>
      <c r="G65" s="3"/>
      <c r="H65" s="3"/>
    </row>
    <row r="66" spans="1:8">
      <c r="A66" s="8" t="s">
        <v>260</v>
      </c>
      <c r="B66" s="8"/>
      <c r="C66" s="8"/>
      <c r="D66" s="8"/>
      <c r="E66" s="8"/>
      <c r="F66" s="8"/>
      <c r="G66" s="8"/>
      <c r="H66" s="8"/>
    </row>
    <row r="67" spans="1:8">
      <c r="A67" s="3"/>
      <c r="B67" s="3" t="s">
        <v>261</v>
      </c>
      <c r="C67" s="3" t="s">
        <v>35</v>
      </c>
      <c r="D67" s="3"/>
      <c r="E67" s="3"/>
      <c r="F67" s="3"/>
      <c r="G67" s="3"/>
      <c r="H67" s="3"/>
    </row>
    <row r="68" spans="1:8">
      <c r="A68" s="3" t="s">
        <v>262</v>
      </c>
      <c r="B68" s="3">
        <f>B49</f>
        <v>30162.242440497779</v>
      </c>
      <c r="C68" s="3">
        <f>H49</f>
        <v>29417.001860628574</v>
      </c>
      <c r="D68" s="3"/>
      <c r="E68" s="3"/>
      <c r="F68" s="3"/>
      <c r="G68" s="3"/>
      <c r="H68" s="3"/>
    </row>
    <row r="69" spans="1:8">
      <c r="A69" s="3" t="s">
        <v>256</v>
      </c>
      <c r="B69" s="3">
        <f>$B$60</f>
        <v>4024</v>
      </c>
      <c r="C69" s="3">
        <f>$B$60</f>
        <v>4024</v>
      </c>
      <c r="D69" s="3"/>
      <c r="E69" s="3"/>
      <c r="F69" s="3"/>
      <c r="G69" s="3"/>
      <c r="H69" s="3"/>
    </row>
    <row r="70" spans="1:8">
      <c r="A70" s="3" t="s">
        <v>263</v>
      </c>
      <c r="B70" s="3">
        <f>B68-B69</f>
        <v>26138.242440497779</v>
      </c>
      <c r="C70" s="3">
        <f>C68-C69</f>
        <v>25393.001860628574</v>
      </c>
      <c r="D70" s="3"/>
      <c r="E70" s="3"/>
      <c r="F70" s="3"/>
      <c r="G70" s="3"/>
      <c r="H70" s="3"/>
    </row>
    <row r="71" spans="1:8">
      <c r="A71" s="3" t="s">
        <v>264</v>
      </c>
      <c r="B71" s="3">
        <f>$G$59</f>
        <v>228</v>
      </c>
      <c r="C71" s="3">
        <f>$G$59</f>
        <v>228</v>
      </c>
      <c r="D71" s="3"/>
      <c r="E71" s="3"/>
      <c r="F71" s="3"/>
      <c r="G71" s="3"/>
      <c r="H71" s="3"/>
    </row>
    <row r="72" spans="1:8">
      <c r="A72" s="3" t="s">
        <v>265</v>
      </c>
      <c r="B72" s="31">
        <f>B70/B71</f>
        <v>114.64141421270956</v>
      </c>
      <c r="C72" s="31">
        <f>C70/C71</f>
        <v>111.37281517819549</v>
      </c>
      <c r="D72" s="3"/>
      <c r="E72" s="3"/>
      <c r="F72" s="3"/>
      <c r="G72" s="3"/>
      <c r="H72" s="3"/>
    </row>
    <row r="73" spans="1:8">
      <c r="A73" s="3" t="s">
        <v>266</v>
      </c>
      <c r="B73" s="31">
        <f>(B70+$B$61)/B71</f>
        <v>114.70640496834764</v>
      </c>
      <c r="C73" s="31">
        <f>(C70+$B$61)/C71</f>
        <v>111.43780593383357</v>
      </c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0"/>
  <sheetViews>
    <sheetView workbookViewId="0">
      <selection activeCell="D28" sqref="D28"/>
    </sheetView>
  </sheetViews>
  <sheetFormatPr baseColWidth="10" defaultColWidth="8.83203125" defaultRowHeight="15"/>
  <cols>
    <col min="1" max="1" width="38" customWidth="1"/>
    <col min="2" max="8" width="12" customWidth="1"/>
  </cols>
  <sheetData>
    <row r="1" spans="1:8">
      <c r="A1" s="3"/>
      <c r="B1" s="3"/>
      <c r="C1" s="3"/>
      <c r="D1" s="3"/>
      <c r="E1" s="3"/>
      <c r="F1" s="3"/>
      <c r="G1" s="3"/>
      <c r="H1" s="3"/>
    </row>
    <row r="2" spans="1:8" ht="18">
      <c r="A2" s="5" t="s">
        <v>267</v>
      </c>
      <c r="B2" s="3"/>
      <c r="C2" s="3"/>
      <c r="D2" s="3"/>
      <c r="E2" s="3"/>
      <c r="F2" s="3"/>
      <c r="G2" s="3"/>
      <c r="H2" s="3"/>
    </row>
    <row r="3" spans="1:8">
      <c r="A3" s="3" t="s">
        <v>268</v>
      </c>
      <c r="B3" s="3"/>
      <c r="C3" s="3"/>
      <c r="D3" s="3"/>
      <c r="E3" s="3"/>
      <c r="F3" s="3"/>
      <c r="G3" s="3"/>
      <c r="H3" s="3"/>
    </row>
    <row r="4" spans="1:8">
      <c r="A4" s="3" t="s">
        <v>214</v>
      </c>
      <c r="B4" s="3"/>
      <c r="C4" s="3" t="s">
        <v>11</v>
      </c>
      <c r="D4" s="3"/>
      <c r="E4" s="3" t="s">
        <v>215</v>
      </c>
      <c r="F4" s="26">
        <f>WACC!E21</f>
        <v>7.9826599999999998E-2</v>
      </c>
      <c r="G4" s="3"/>
      <c r="H4" s="3"/>
    </row>
    <row r="5" spans="1:8">
      <c r="A5" s="3" t="s">
        <v>216</v>
      </c>
      <c r="B5" s="3"/>
      <c r="C5" s="3" t="s">
        <v>98</v>
      </c>
      <c r="D5" s="3"/>
      <c r="E5" s="3" t="s">
        <v>269</v>
      </c>
      <c r="F5" s="16">
        <v>2.5000000000000001E-2</v>
      </c>
      <c r="G5" s="3"/>
      <c r="H5" s="3"/>
    </row>
    <row r="6" spans="1:8">
      <c r="A6" s="3" t="s">
        <v>221</v>
      </c>
      <c r="B6" s="3"/>
      <c r="C6" s="3" t="s">
        <v>270</v>
      </c>
      <c r="D6" s="3"/>
      <c r="E6" s="3" t="s">
        <v>271</v>
      </c>
      <c r="F6" s="16">
        <v>0.08</v>
      </c>
      <c r="G6" s="3"/>
      <c r="H6" s="3"/>
    </row>
    <row r="7" spans="1:8">
      <c r="A7" s="3" t="s">
        <v>272</v>
      </c>
      <c r="B7" s="3"/>
      <c r="C7" s="3" t="s">
        <v>97</v>
      </c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8" t="s">
        <v>273</v>
      </c>
      <c r="B10" s="8"/>
      <c r="C10" s="8"/>
      <c r="D10" s="8"/>
      <c r="E10" s="8"/>
      <c r="F10" s="8"/>
      <c r="G10" s="8"/>
      <c r="H10" s="8"/>
    </row>
    <row r="11" spans="1:8">
      <c r="A11" s="3"/>
      <c r="B11" s="3" t="s">
        <v>11</v>
      </c>
      <c r="C11" s="3" t="s">
        <v>98</v>
      </c>
      <c r="D11" s="3" t="s">
        <v>99</v>
      </c>
      <c r="E11" s="3" t="s">
        <v>100</v>
      </c>
      <c r="F11" s="3" t="s">
        <v>101</v>
      </c>
      <c r="G11" s="3" t="s">
        <v>102</v>
      </c>
      <c r="H11" s="3" t="s">
        <v>103</v>
      </c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 t="s">
        <v>187</v>
      </c>
      <c r="B13" s="40">
        <f>'Revenue Build_Empty'!C9</f>
        <v>0</v>
      </c>
      <c r="C13" s="40">
        <f>'Revenue Build_Empty'!D9</f>
        <v>7.1875</v>
      </c>
      <c r="D13" s="40">
        <f>'Revenue Build_Empty'!E9</f>
        <v>17.594999999999999</v>
      </c>
      <c r="E13" s="40">
        <f>'Revenue Build_Empty'!F9</f>
        <v>31.670568750000001</v>
      </c>
      <c r="F13" s="40">
        <f>'Revenue Build_Empty'!G9</f>
        <v>49.670674937499996</v>
      </c>
      <c r="G13" s="40">
        <f>'Revenue Build_Empty'!H9</f>
        <v>71.910997961250004</v>
      </c>
      <c r="H13" s="40">
        <f>'Revenue Build_Empty'!I9</f>
        <v>98.725412155162502</v>
      </c>
    </row>
    <row r="14" spans="1:8">
      <c r="A14" s="3" t="s">
        <v>207</v>
      </c>
      <c r="B14" s="40">
        <f>'Revenue Build_Empty'!C31</f>
        <v>17.608000000000001</v>
      </c>
      <c r="C14" s="40">
        <f>'Revenue Build_Empty'!D31</f>
        <v>23.6995</v>
      </c>
      <c r="D14" s="40">
        <f>'Revenue Build_Empty'!E31</f>
        <v>26.450339999999997</v>
      </c>
      <c r="E14" s="40">
        <f>'Revenue Build_Empty'!F31</f>
        <v>29.67613085</v>
      </c>
      <c r="F14" s="40">
        <f>'Revenue Build_Empty'!G31</f>
        <v>33.397547013500002</v>
      </c>
      <c r="G14" s="40">
        <f>'Revenue Build_Empty'!H31</f>
        <v>37.642399820180003</v>
      </c>
      <c r="H14" s="40">
        <f>'Revenue Build_Empty'!I31</f>
        <v>42.440516447039002</v>
      </c>
    </row>
    <row r="15" spans="1:8">
      <c r="A15" s="3" t="s">
        <v>208</v>
      </c>
      <c r="B15" s="40">
        <f>'Revenue Build_Empty'!C32</f>
        <v>-17.608000000000001</v>
      </c>
      <c r="C15" s="40">
        <f>'Revenue Build_Empty'!D32</f>
        <v>-16.512</v>
      </c>
      <c r="D15" s="40">
        <f>'Revenue Build_Empty'!E32</f>
        <v>-8.8553399999999982</v>
      </c>
      <c r="E15" s="40">
        <f>'Revenue Build_Empty'!F32</f>
        <v>1.9944379000000012</v>
      </c>
      <c r="F15" s="40">
        <f>'Revenue Build_Empty'!G32</f>
        <v>16.273127923999994</v>
      </c>
      <c r="G15" s="40">
        <f>'Revenue Build_Empty'!H32</f>
        <v>34.268598141070001</v>
      </c>
      <c r="H15" s="40">
        <f>'Revenue Build_Empty'!I32</f>
        <v>56.2848957081235</v>
      </c>
    </row>
    <row r="16" spans="1:8">
      <c r="A16" s="3" t="s">
        <v>209</v>
      </c>
      <c r="B16" s="40">
        <f>'Revenue Build_Empty'!C33</f>
        <v>0</v>
      </c>
      <c r="C16" s="40">
        <f>'Revenue Build_Empty'!D33</f>
        <v>0</v>
      </c>
      <c r="D16" s="40">
        <f>'Revenue Build_Empty'!E33</f>
        <v>0</v>
      </c>
      <c r="E16" s="40">
        <f>'Revenue Build_Empty'!F33</f>
        <v>0.47068734440000032</v>
      </c>
      <c r="F16" s="40">
        <f>'Revenue Build_Empty'!G33</f>
        <v>3.8404581900639987</v>
      </c>
      <c r="G16" s="40">
        <f>'Revenue Build_Empty'!H33</f>
        <v>8.0873891612925206</v>
      </c>
      <c r="H16" s="40">
        <f>'Revenue Build_Empty'!I33</f>
        <v>13.283235387117147</v>
      </c>
    </row>
    <row r="17" spans="1:8">
      <c r="A17" s="3" t="s">
        <v>210</v>
      </c>
      <c r="B17" s="40">
        <f>'Revenue Build_Empty'!C34</f>
        <v>-17.608000000000001</v>
      </c>
      <c r="C17" s="40">
        <f>'Revenue Build_Empty'!D34</f>
        <v>-16.512</v>
      </c>
      <c r="D17" s="40">
        <f>'Revenue Build_Empty'!E34</f>
        <v>-8.8553399999999982</v>
      </c>
      <c r="E17" s="40">
        <f>'Revenue Build_Empty'!F34</f>
        <v>1.5237505556000008</v>
      </c>
      <c r="F17" s="40">
        <f>'Revenue Build_Empty'!G34</f>
        <v>12.432669733935995</v>
      </c>
      <c r="G17" s="40">
        <f>'Revenue Build_Empty'!H34</f>
        <v>26.18120897977748</v>
      </c>
      <c r="H17" s="40">
        <f>'Revenue Build_Empty'!I34</f>
        <v>43.001660321006355</v>
      </c>
    </row>
    <row r="18" spans="1:8">
      <c r="A18" s="3" t="s">
        <v>274</v>
      </c>
      <c r="B18" s="40">
        <f>SUM($B$13:B13)</f>
        <v>0</v>
      </c>
      <c r="C18" s="40">
        <f>SUM($B$13:C13)</f>
        <v>7.1875</v>
      </c>
      <c r="D18" s="40">
        <f>SUM($B$13:D13)</f>
        <v>24.782499999999999</v>
      </c>
      <c r="E18" s="40">
        <f>SUM($B$13:E13)</f>
        <v>56.45306875</v>
      </c>
      <c r="F18" s="40">
        <f>SUM($B$13:F13)</f>
        <v>106.1237436875</v>
      </c>
      <c r="G18" s="40">
        <f>SUM($B$13:G13)</f>
        <v>178.03474164875001</v>
      </c>
      <c r="H18" s="40">
        <f>SUM($B$13:H13)</f>
        <v>276.76015380391254</v>
      </c>
    </row>
    <row r="19" spans="1:8">
      <c r="A19" s="3" t="s">
        <v>275</v>
      </c>
      <c r="B19" s="40">
        <f>SUM($B$14:B14)</f>
        <v>17.608000000000001</v>
      </c>
      <c r="C19" s="40">
        <f>SUM($B$14:C14)</f>
        <v>41.307500000000005</v>
      </c>
      <c r="D19" s="40">
        <f>SUM($B$14:D14)</f>
        <v>67.757840000000002</v>
      </c>
      <c r="E19" s="40">
        <f>SUM($B$14:E14)</f>
        <v>97.433970850000009</v>
      </c>
      <c r="F19" s="40">
        <f>SUM($B$14:F14)</f>
        <v>130.83151786350001</v>
      </c>
      <c r="G19" s="40">
        <f>SUM($B$14:G14)</f>
        <v>168.47391768368001</v>
      </c>
      <c r="H19" s="40">
        <f>SUM($B$14:H14)</f>
        <v>210.91443413071903</v>
      </c>
    </row>
    <row r="20" spans="1:8">
      <c r="A20" s="3" t="s">
        <v>211</v>
      </c>
      <c r="B20" s="25">
        <f t="shared" ref="B20:H20" si="0">IF(B19=0,0,(B18-B19)/B19)</f>
        <v>-1</v>
      </c>
      <c r="C20" s="25">
        <f t="shared" si="0"/>
        <v>-0.82600012104339404</v>
      </c>
      <c r="D20" s="25">
        <f t="shared" si="0"/>
        <v>-0.63424896661404795</v>
      </c>
      <c r="E20" s="25">
        <f t="shared" si="0"/>
        <v>-0.42060178541927923</v>
      </c>
      <c r="F20" s="25">
        <f t="shared" si="0"/>
        <v>-0.1888518499172217</v>
      </c>
      <c r="G20" s="25">
        <f t="shared" si="0"/>
        <v>5.6749579380121179E-2</v>
      </c>
      <c r="H20" s="25">
        <f t="shared" si="0"/>
        <v>0.31219162379557258</v>
      </c>
    </row>
    <row r="21" spans="1:8">
      <c r="A21" s="3" t="s">
        <v>276</v>
      </c>
      <c r="B21" s="40">
        <f>SUM($B$17:B17)</f>
        <v>-17.608000000000001</v>
      </c>
      <c r="C21" s="40">
        <f>SUM($B$17:C17)</f>
        <v>-34.120000000000005</v>
      </c>
      <c r="D21" s="40">
        <f>SUM($B$17:D17)</f>
        <v>-42.975340000000003</v>
      </c>
      <c r="E21" s="40">
        <f>SUM($B$17:E17)</f>
        <v>-41.4515894444</v>
      </c>
      <c r="F21" s="40">
        <f>SUM($B$17:F17)</f>
        <v>-29.018919710464004</v>
      </c>
      <c r="G21" s="40">
        <f>SUM($B$17:G17)</f>
        <v>-2.8377107306865241</v>
      </c>
      <c r="H21" s="40">
        <f>SUM($B$17:H17)</f>
        <v>40.163949590319831</v>
      </c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8" t="s">
        <v>277</v>
      </c>
      <c r="B23" s="8"/>
      <c r="C23" s="8"/>
      <c r="D23" s="8"/>
      <c r="E23" s="8"/>
      <c r="F23" s="8"/>
      <c r="G23" s="8"/>
      <c r="H23" s="8"/>
    </row>
    <row r="24" spans="1:8">
      <c r="A24" s="3"/>
      <c r="B24" s="3" t="s">
        <v>11</v>
      </c>
      <c r="C24" s="3" t="s">
        <v>98</v>
      </c>
      <c r="D24" s="3" t="s">
        <v>99</v>
      </c>
      <c r="E24" s="3" t="s">
        <v>100</v>
      </c>
      <c r="F24" s="3" t="s">
        <v>101</v>
      </c>
      <c r="G24" s="3" t="s">
        <v>102</v>
      </c>
      <c r="H24" s="3" t="s">
        <v>103</v>
      </c>
    </row>
    <row r="25" spans="1:8">
      <c r="A25" s="3" t="s">
        <v>234</v>
      </c>
      <c r="B25" s="3">
        <v>0</v>
      </c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</row>
    <row r="26" spans="1:8">
      <c r="A26" s="3" t="s">
        <v>235</v>
      </c>
      <c r="B26" s="3">
        <f t="shared" ref="B26:H26" si="1">1/(1+$F$4)^B25</f>
        <v>1</v>
      </c>
      <c r="C26" s="3">
        <f t="shared" si="1"/>
        <v>0.9260746123497976</v>
      </c>
      <c r="D26" s="3">
        <f t="shared" si="1"/>
        <v>0.85761418763882791</v>
      </c>
      <c r="E26" s="3">
        <f t="shared" si="1"/>
        <v>0.79421472636331414</v>
      </c>
      <c r="F26" s="3">
        <f t="shared" si="1"/>
        <v>0.73550209483940676</v>
      </c>
      <c r="G26" s="3">
        <f t="shared" si="1"/>
        <v>0.68112981736086764</v>
      </c>
      <c r="H26" s="3">
        <f t="shared" si="1"/>
        <v>0.63077703157235387</v>
      </c>
    </row>
    <row r="27" spans="1:8">
      <c r="A27" s="3" t="s">
        <v>278</v>
      </c>
      <c r="B27" s="3">
        <f t="shared" ref="B27:H27" si="2">B17</f>
        <v>-17.608000000000001</v>
      </c>
      <c r="C27" s="3">
        <f t="shared" si="2"/>
        <v>-16.512</v>
      </c>
      <c r="D27" s="3">
        <f t="shared" si="2"/>
        <v>-8.8553399999999982</v>
      </c>
      <c r="E27" s="3">
        <f t="shared" si="2"/>
        <v>1.5237505556000008</v>
      </c>
      <c r="F27" s="3">
        <f t="shared" si="2"/>
        <v>12.432669733935995</v>
      </c>
      <c r="G27" s="3">
        <f t="shared" si="2"/>
        <v>26.18120897977748</v>
      </c>
      <c r="H27" s="3">
        <f t="shared" si="2"/>
        <v>43.001660321006355</v>
      </c>
    </row>
    <row r="28" spans="1:8">
      <c r="A28" s="3" t="s">
        <v>279</v>
      </c>
      <c r="B28" s="3">
        <f t="shared" ref="B28:H28" si="3">B27*B26</f>
        <v>-17.608000000000001</v>
      </c>
      <c r="C28" s="3">
        <f t="shared" si="3"/>
        <v>-15.291343999119858</v>
      </c>
      <c r="D28" s="3">
        <f t="shared" si="3"/>
        <v>-7.5944652203656169</v>
      </c>
      <c r="E28" s="3">
        <f t="shared" si="3"/>
        <v>1.2101851305618025</v>
      </c>
      <c r="F28" s="3">
        <f t="shared" si="3"/>
        <v>9.1442546337564146</v>
      </c>
      <c r="G28" s="3">
        <f t="shared" si="3"/>
        <v>17.832802090682542</v>
      </c>
      <c r="H28" s="3">
        <f t="shared" si="3"/>
        <v>27.124459649967061</v>
      </c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8" t="s">
        <v>280</v>
      </c>
      <c r="B31" s="8"/>
      <c r="C31" s="8"/>
      <c r="D31" s="8"/>
      <c r="E31" s="8"/>
      <c r="F31" s="8"/>
      <c r="G31" s="8"/>
      <c r="H31" s="8"/>
    </row>
    <row r="32" spans="1:8">
      <c r="A32" s="3" t="s">
        <v>281</v>
      </c>
      <c r="B32" s="3">
        <f>SUM(B28:H28)</f>
        <v>14.817892285482351</v>
      </c>
      <c r="C32" s="3"/>
      <c r="D32" s="3"/>
      <c r="E32" s="3"/>
      <c r="F32" s="3"/>
      <c r="G32" s="3"/>
      <c r="H32" s="3"/>
    </row>
    <row r="33" spans="1:8">
      <c r="A33" s="3" t="s">
        <v>282</v>
      </c>
      <c r="B33" s="26">
        <f>IF(AND(MIN(B17:H17)&lt;0,MAX(B17:H17)&gt;0),IRR(B17:H17),"N/M")</f>
        <v>0.15687342657096348</v>
      </c>
      <c r="C33" s="3"/>
      <c r="D33" s="3"/>
      <c r="E33" s="3"/>
      <c r="F33" s="3"/>
      <c r="G33" s="3"/>
      <c r="H33" s="3"/>
    </row>
    <row r="34" spans="1:8">
      <c r="A34" s="3" t="s">
        <v>283</v>
      </c>
      <c r="B34" s="41">
        <f>IF(C21&gt;=0,2025+ABS(B21)/C17,IF(D21&gt;=0,2026+ABS(C21)/D17,IF(E21&gt;=0,2027+ABS(D21)/E17,IF(F21&gt;=0,2028+ABS(E21)/F17,IF(G21&gt;=0,2029+ABS(F21)/G17,IF(H21&gt;=0,2030+ABS(G21)/H17,"&gt;2031"))))))</f>
        <v>2030.065990724765</v>
      </c>
      <c r="C34" s="3"/>
      <c r="D34" s="3"/>
      <c r="E34" s="3"/>
      <c r="F34" s="3"/>
      <c r="G34" s="3"/>
      <c r="H34" s="3"/>
    </row>
    <row r="35" spans="1:8">
      <c r="A35" s="3" t="s">
        <v>284</v>
      </c>
      <c r="B35" s="26">
        <f>H20</f>
        <v>0.31219162379557258</v>
      </c>
      <c r="C35" s="3"/>
      <c r="D35" s="3"/>
      <c r="E35" s="3"/>
      <c r="F35" s="3"/>
      <c r="G35" s="3"/>
      <c r="H35" s="3"/>
    </row>
    <row r="36" spans="1:8">
      <c r="A36" s="3" t="s">
        <v>285</v>
      </c>
      <c r="B36" s="42">
        <f>SUM(B13:H13)/SUM(B14:H14)</f>
        <v>1.3121916237955726</v>
      </c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8" t="s">
        <v>286</v>
      </c>
      <c r="B39" s="8"/>
      <c r="C39" s="8"/>
      <c r="D39" s="8"/>
      <c r="E39" s="8"/>
      <c r="F39" s="8"/>
      <c r="G39" s="8"/>
      <c r="H39" s="8"/>
    </row>
    <row r="40" spans="1:8">
      <c r="A40" s="3" t="s">
        <v>269</v>
      </c>
      <c r="B40" s="26">
        <f>$F$5</f>
        <v>2.5000000000000001E-2</v>
      </c>
      <c r="C40" s="3"/>
      <c r="D40" s="3"/>
      <c r="E40" s="3"/>
      <c r="F40" s="3"/>
      <c r="G40" s="3"/>
      <c r="H40" s="3"/>
    </row>
    <row r="41" spans="1:8">
      <c r="A41" s="3" t="s">
        <v>287</v>
      </c>
      <c r="B41" s="3">
        <f>IF(H17&lt;=0,0,H17*(1+B40)/($F$4-B40))</f>
        <v>803.92914806009344</v>
      </c>
      <c r="C41" s="3"/>
      <c r="D41" s="3"/>
      <c r="E41" s="3"/>
      <c r="F41" s="3"/>
      <c r="G41" s="3"/>
      <c r="H41" s="3"/>
    </row>
    <row r="42" spans="1:8">
      <c r="A42" s="3" t="s">
        <v>288</v>
      </c>
      <c r="B42" s="3">
        <f>B41*H26</f>
        <v>507.10004160783711</v>
      </c>
      <c r="C42" s="3"/>
      <c r="D42" s="3"/>
      <c r="E42" s="3"/>
      <c r="F42" s="3"/>
      <c r="G42" s="3"/>
      <c r="H42" s="3"/>
    </row>
    <row r="43" spans="1:8">
      <c r="A43" s="3" t="s">
        <v>289</v>
      </c>
      <c r="B43" s="3">
        <f>B32+B42</f>
        <v>521.91793389331951</v>
      </c>
      <c r="C43" s="3"/>
      <c r="D43" s="3"/>
      <c r="E43" s="3"/>
      <c r="F43" s="3"/>
      <c r="G43" s="3"/>
      <c r="H43" s="3"/>
    </row>
    <row r="44" spans="1:8">
      <c r="A44" s="3" t="s">
        <v>290</v>
      </c>
      <c r="B44" s="26">
        <f>IF(B43=0,0,B42/B43)</f>
        <v>0.97160876964900156</v>
      </c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 t="s">
        <v>291</v>
      </c>
      <c r="B48" s="3"/>
      <c r="C48" s="3"/>
      <c r="D48" s="3"/>
      <c r="E48" s="3"/>
      <c r="F48" s="3"/>
      <c r="G48" s="3"/>
      <c r="H48" s="3"/>
    </row>
    <row r="49" spans="1:8">
      <c r="A49" s="3" t="s">
        <v>292</v>
      </c>
      <c r="B49" s="3">
        <f>B32</f>
        <v>14.817892285482351</v>
      </c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8" t="s">
        <v>293</v>
      </c>
      <c r="B53" s="8"/>
      <c r="C53" s="8"/>
      <c r="D53" s="8"/>
      <c r="E53" s="8"/>
      <c r="F53" s="8"/>
      <c r="G53" s="3"/>
      <c r="H53" s="3"/>
    </row>
    <row r="54" spans="1:8">
      <c r="A54" s="3" t="s">
        <v>294</v>
      </c>
      <c r="B54" s="3">
        <v>10000</v>
      </c>
      <c r="C54" s="3">
        <v>17500</v>
      </c>
      <c r="D54" s="3">
        <v>25000</v>
      </c>
      <c r="E54" s="3">
        <v>32500</v>
      </c>
      <c r="F54" s="3">
        <v>40000</v>
      </c>
      <c r="G54" s="3"/>
      <c r="H54" s="3"/>
    </row>
    <row r="55" spans="1:8">
      <c r="A55" s="43">
        <v>0.7</v>
      </c>
      <c r="B55" s="3">
        <f>$B$17+(IF(((('Revenue Build_Empty'!D17*$A55*B$54/1000000)*(1+'Revenue Build_Empty'!D19))-(('Revenue Build_Empty'!D17*$A55*B$54/1000000)*'Revenue Build_Empty'!D28)-'Revenue Build_Empty'!D27-'Revenue Build_Empty'!D30)&gt;0,((('Revenue Build_Empty'!D17*$A55*B$54/1000000)*(1+'Revenue Build_Empty'!D19))-(('Revenue Build_Empty'!D17*$A55*B$54/1000000)*'Revenue Build_Empty'!D28)-'Revenue Build_Empty'!D27-'Revenue Build_Empty'!D30)*(1-23.6%),((('Revenue Build_Empty'!D17*$A55*B$54/1000000)*(1+'Revenue Build_Empty'!D19))-(('Revenue Build_Empty'!D17*$A55*B$54/1000000)*'Revenue Build_Empty'!D28)-'Revenue Build_Empty'!D27-'Revenue Build_Empty'!D30)))/(1+$F$4)^1+(IF(((('Revenue Build_Empty'!E17*$A55*B$54/1000000)*(1+'Revenue Build_Empty'!E19))-(('Revenue Build_Empty'!E17*$A55*B$54/1000000)*'Revenue Build_Empty'!E28)-'Revenue Build_Empty'!E27-'Revenue Build_Empty'!E30)&gt;0,((('Revenue Build_Empty'!E17*$A55*B$54/1000000)*(1+'Revenue Build_Empty'!E19))-(('Revenue Build_Empty'!E17*$A55*B$54/1000000)*'Revenue Build_Empty'!E28)-'Revenue Build_Empty'!E27-'Revenue Build_Empty'!E30)*(1-23.6%),((('Revenue Build_Empty'!E17*$A55*B$54/1000000)*(1+'Revenue Build_Empty'!E19))-(('Revenue Build_Empty'!E17*$A55*B$54/1000000)*'Revenue Build_Empty'!E28)-'Revenue Build_Empty'!E27-'Revenue Build_Empty'!E30)))/(1+$F$4)^2+(IF(((('Revenue Build_Empty'!F17*$A55*B$54/1000000)*(1+'Revenue Build_Empty'!F19))-(('Revenue Build_Empty'!F17*$A55*B$54/1000000)*'Revenue Build_Empty'!F28)-'Revenue Build_Empty'!F27-'Revenue Build_Empty'!F30)&gt;0,((('Revenue Build_Empty'!F17*$A55*B$54/1000000)*(1+'Revenue Build_Empty'!F19))-(('Revenue Build_Empty'!F17*$A55*B$54/1000000)*'Revenue Build_Empty'!F28)-'Revenue Build_Empty'!F27-'Revenue Build_Empty'!F30)*(1-23.6%),((('Revenue Build_Empty'!F17*$A55*B$54/1000000)*(1+'Revenue Build_Empty'!F19))-(('Revenue Build_Empty'!F17*$A55*B$54/1000000)*'Revenue Build_Empty'!F28)-'Revenue Build_Empty'!F27-'Revenue Build_Empty'!F30)))/(1+$F$4)^3+(IF(((('Revenue Build_Empty'!G17*$A55*B$54/1000000)*(1+'Revenue Build_Empty'!G19))-(('Revenue Build_Empty'!G17*$A55*B$54/1000000)*'Revenue Build_Empty'!G28)-'Revenue Build_Empty'!G27-'Revenue Build_Empty'!G30)&gt;0,((('Revenue Build_Empty'!G17*$A55*B$54/1000000)*(1+'Revenue Build_Empty'!G19))-(('Revenue Build_Empty'!G17*$A55*B$54/1000000)*'Revenue Build_Empty'!G28)-'Revenue Build_Empty'!G27-'Revenue Build_Empty'!G30)*(1-23.6%),((('Revenue Build_Empty'!G17*$A55*B$54/1000000)*(1+'Revenue Build_Empty'!G19))-(('Revenue Build_Empty'!G17*$A55*B$54/1000000)*'Revenue Build_Empty'!G28)-'Revenue Build_Empty'!G27-'Revenue Build_Empty'!G30)))/(1+$F$4)^4+(IF(((('Revenue Build_Empty'!H17*$A55*B$54/1000000)*(1+'Revenue Build_Empty'!H19))-(('Revenue Build_Empty'!H17*$A55*B$54/1000000)*'Revenue Build_Empty'!H28)-'Revenue Build_Empty'!H27-'Revenue Build_Empty'!H30)&gt;0,((('Revenue Build_Empty'!H17*$A55*B$54/1000000)*(1+'Revenue Build_Empty'!H19))-(('Revenue Build_Empty'!H17*$A55*B$54/1000000)*'Revenue Build_Empty'!H28)-'Revenue Build_Empty'!H27-'Revenue Build_Empty'!H30)*(1-23.6%),((('Revenue Build_Empty'!H17*$A55*B$54/1000000)*(1+'Revenue Build_Empty'!H19))-(('Revenue Build_Empty'!H17*$A55*B$54/1000000)*'Revenue Build_Empty'!H28)-'Revenue Build_Empty'!H27-'Revenue Build_Empty'!H30)))/(1+$F$4)^5+(IF(((('Revenue Build_Empty'!I17*$A55*B$54/1000000)*(1+'Revenue Build_Empty'!I19))-(('Revenue Build_Empty'!I17*$A55*B$54/1000000)*'Revenue Build_Empty'!I28)-'Revenue Build_Empty'!I27-'Revenue Build_Empty'!I30)&gt;0,((('Revenue Build_Empty'!I17*$A55*B$54/1000000)*(1+'Revenue Build_Empty'!I19))-(('Revenue Build_Empty'!I17*$A55*B$54/1000000)*'Revenue Build_Empty'!I28)-'Revenue Build_Empty'!I27-'Revenue Build_Empty'!I30)*(1-23.6%),((('Revenue Build_Empty'!I17*$A55*B$54/1000000)*(1+'Revenue Build_Empty'!I19))-(('Revenue Build_Empty'!I17*$A55*B$54/1000000)*'Revenue Build_Empty'!I28)-'Revenue Build_Empty'!I27-'Revenue Build_Empty'!I30)))/(1+$F$4)^6</f>
        <v>-89.98693973820113</v>
      </c>
      <c r="C55" s="3">
        <f>$B$17+(IF(((('Revenue Build_Empty'!D17*$A55*C$54/1000000)*(1+'Revenue Build_Empty'!D19))-(('Revenue Build_Empty'!D17*$A55*C$54/1000000)*'Revenue Build_Empty'!D28)-'Revenue Build_Empty'!D27-'Revenue Build_Empty'!D30)&gt;0,((('Revenue Build_Empty'!D17*$A55*C$54/1000000)*(1+'Revenue Build_Empty'!D19))-(('Revenue Build_Empty'!D17*$A55*C$54/1000000)*'Revenue Build_Empty'!D28)-'Revenue Build_Empty'!D27-'Revenue Build_Empty'!D30)*(1-23.6%),((('Revenue Build_Empty'!D17*$A55*C$54/1000000)*(1+'Revenue Build_Empty'!D19))-(('Revenue Build_Empty'!D17*$A55*C$54/1000000)*'Revenue Build_Empty'!D28)-'Revenue Build_Empty'!D27-'Revenue Build_Empty'!D30)))/(1+$F$4)^1+(IF(((('Revenue Build_Empty'!E17*$A55*C$54/1000000)*(1+'Revenue Build_Empty'!E19))-(('Revenue Build_Empty'!E17*$A55*C$54/1000000)*'Revenue Build_Empty'!E28)-'Revenue Build_Empty'!E27-'Revenue Build_Empty'!E30)&gt;0,((('Revenue Build_Empty'!E17*$A55*C$54/1000000)*(1+'Revenue Build_Empty'!E19))-(('Revenue Build_Empty'!E17*$A55*C$54/1000000)*'Revenue Build_Empty'!E28)-'Revenue Build_Empty'!E27-'Revenue Build_Empty'!E30)*(1-23.6%),((('Revenue Build_Empty'!E17*$A55*C$54/1000000)*(1+'Revenue Build_Empty'!E19))-(('Revenue Build_Empty'!E17*$A55*C$54/1000000)*'Revenue Build_Empty'!E28)-'Revenue Build_Empty'!E27-'Revenue Build_Empty'!E30)))/(1+$F$4)^2+(IF(((('Revenue Build_Empty'!F17*$A55*C$54/1000000)*(1+'Revenue Build_Empty'!F19))-(('Revenue Build_Empty'!F17*$A55*C$54/1000000)*'Revenue Build_Empty'!F28)-'Revenue Build_Empty'!F27-'Revenue Build_Empty'!F30)&gt;0,((('Revenue Build_Empty'!F17*$A55*C$54/1000000)*(1+'Revenue Build_Empty'!F19))-(('Revenue Build_Empty'!F17*$A55*C$54/1000000)*'Revenue Build_Empty'!F28)-'Revenue Build_Empty'!F27-'Revenue Build_Empty'!F30)*(1-23.6%),((('Revenue Build_Empty'!F17*$A55*C$54/1000000)*(1+'Revenue Build_Empty'!F19))-(('Revenue Build_Empty'!F17*$A55*C$54/1000000)*'Revenue Build_Empty'!F28)-'Revenue Build_Empty'!F27-'Revenue Build_Empty'!F30)))/(1+$F$4)^3+(IF(((('Revenue Build_Empty'!G17*$A55*C$54/1000000)*(1+'Revenue Build_Empty'!G19))-(('Revenue Build_Empty'!G17*$A55*C$54/1000000)*'Revenue Build_Empty'!G28)-'Revenue Build_Empty'!G27-'Revenue Build_Empty'!G30)&gt;0,((('Revenue Build_Empty'!G17*$A55*C$54/1000000)*(1+'Revenue Build_Empty'!G19))-(('Revenue Build_Empty'!G17*$A55*C$54/1000000)*'Revenue Build_Empty'!G28)-'Revenue Build_Empty'!G27-'Revenue Build_Empty'!G30)*(1-23.6%),((('Revenue Build_Empty'!G17*$A55*C$54/1000000)*(1+'Revenue Build_Empty'!G19))-(('Revenue Build_Empty'!G17*$A55*C$54/1000000)*'Revenue Build_Empty'!G28)-'Revenue Build_Empty'!G27-'Revenue Build_Empty'!G30)))/(1+$F$4)^4+(IF(((('Revenue Build_Empty'!H17*$A55*C$54/1000000)*(1+'Revenue Build_Empty'!H19))-(('Revenue Build_Empty'!H17*$A55*C$54/1000000)*'Revenue Build_Empty'!H28)-'Revenue Build_Empty'!H27-'Revenue Build_Empty'!H30)&gt;0,((('Revenue Build_Empty'!H17*$A55*C$54/1000000)*(1+'Revenue Build_Empty'!H19))-(('Revenue Build_Empty'!H17*$A55*C$54/1000000)*'Revenue Build_Empty'!H28)-'Revenue Build_Empty'!H27-'Revenue Build_Empty'!H30)*(1-23.6%),((('Revenue Build_Empty'!H17*$A55*C$54/1000000)*(1+'Revenue Build_Empty'!H19))-(('Revenue Build_Empty'!H17*$A55*C$54/1000000)*'Revenue Build_Empty'!H28)-'Revenue Build_Empty'!H27-'Revenue Build_Empty'!H30)))/(1+$F$4)^5+(IF(((('Revenue Build_Empty'!I17*$A55*C$54/1000000)*(1+'Revenue Build_Empty'!I19))-(('Revenue Build_Empty'!I17*$A55*C$54/1000000)*'Revenue Build_Empty'!I28)-'Revenue Build_Empty'!I27-'Revenue Build_Empty'!I30)&gt;0,((('Revenue Build_Empty'!I17*$A55*C$54/1000000)*(1+'Revenue Build_Empty'!I19))-(('Revenue Build_Empty'!I17*$A55*C$54/1000000)*'Revenue Build_Empty'!I28)-'Revenue Build_Empty'!I27-'Revenue Build_Empty'!I30)*(1-23.6%),((('Revenue Build_Empty'!I17*$A55*C$54/1000000)*(1+'Revenue Build_Empty'!I19))-(('Revenue Build_Empty'!I17*$A55*C$54/1000000)*'Revenue Build_Empty'!I28)-'Revenue Build_Empty'!I27-'Revenue Build_Empty'!I30)))/(1+$F$4)^6</f>
        <v>-56.678835933960436</v>
      </c>
      <c r="D55" s="3">
        <f>$B$17+(IF(((('Revenue Build_Empty'!D17*$A55*D$54/1000000)*(1+'Revenue Build_Empty'!D19))-(('Revenue Build_Empty'!D17*$A55*D$54/1000000)*'Revenue Build_Empty'!D28)-'Revenue Build_Empty'!D27-'Revenue Build_Empty'!D30)&gt;0,((('Revenue Build_Empty'!D17*$A55*D$54/1000000)*(1+'Revenue Build_Empty'!D19))-(('Revenue Build_Empty'!D17*$A55*D$54/1000000)*'Revenue Build_Empty'!D28)-'Revenue Build_Empty'!D27-'Revenue Build_Empty'!D30)*(1-23.6%),((('Revenue Build_Empty'!D17*$A55*D$54/1000000)*(1+'Revenue Build_Empty'!D19))-(('Revenue Build_Empty'!D17*$A55*D$54/1000000)*'Revenue Build_Empty'!D28)-'Revenue Build_Empty'!D27-'Revenue Build_Empty'!D30)))/(1+$F$4)^1+(IF(((('Revenue Build_Empty'!E17*$A55*D$54/1000000)*(1+'Revenue Build_Empty'!E19))-(('Revenue Build_Empty'!E17*$A55*D$54/1000000)*'Revenue Build_Empty'!E28)-'Revenue Build_Empty'!E27-'Revenue Build_Empty'!E30)&gt;0,((('Revenue Build_Empty'!E17*$A55*D$54/1000000)*(1+'Revenue Build_Empty'!E19))-(('Revenue Build_Empty'!E17*$A55*D$54/1000000)*'Revenue Build_Empty'!E28)-'Revenue Build_Empty'!E27-'Revenue Build_Empty'!E30)*(1-23.6%),((('Revenue Build_Empty'!E17*$A55*D$54/1000000)*(1+'Revenue Build_Empty'!E19))-(('Revenue Build_Empty'!E17*$A55*D$54/1000000)*'Revenue Build_Empty'!E28)-'Revenue Build_Empty'!E27-'Revenue Build_Empty'!E30)))/(1+$F$4)^2+(IF(((('Revenue Build_Empty'!F17*$A55*D$54/1000000)*(1+'Revenue Build_Empty'!F19))-(('Revenue Build_Empty'!F17*$A55*D$54/1000000)*'Revenue Build_Empty'!F28)-'Revenue Build_Empty'!F27-'Revenue Build_Empty'!F30)&gt;0,((('Revenue Build_Empty'!F17*$A55*D$54/1000000)*(1+'Revenue Build_Empty'!F19))-(('Revenue Build_Empty'!F17*$A55*D$54/1000000)*'Revenue Build_Empty'!F28)-'Revenue Build_Empty'!F27-'Revenue Build_Empty'!F30)*(1-23.6%),((('Revenue Build_Empty'!F17*$A55*D$54/1000000)*(1+'Revenue Build_Empty'!F19))-(('Revenue Build_Empty'!F17*$A55*D$54/1000000)*'Revenue Build_Empty'!F28)-'Revenue Build_Empty'!F27-'Revenue Build_Empty'!F30)))/(1+$F$4)^3+(IF(((('Revenue Build_Empty'!G17*$A55*D$54/1000000)*(1+'Revenue Build_Empty'!G19))-(('Revenue Build_Empty'!G17*$A55*D$54/1000000)*'Revenue Build_Empty'!G28)-'Revenue Build_Empty'!G27-'Revenue Build_Empty'!G30)&gt;0,((('Revenue Build_Empty'!G17*$A55*D$54/1000000)*(1+'Revenue Build_Empty'!G19))-(('Revenue Build_Empty'!G17*$A55*D$54/1000000)*'Revenue Build_Empty'!G28)-'Revenue Build_Empty'!G27-'Revenue Build_Empty'!G30)*(1-23.6%),((('Revenue Build_Empty'!G17*$A55*D$54/1000000)*(1+'Revenue Build_Empty'!G19))-(('Revenue Build_Empty'!G17*$A55*D$54/1000000)*'Revenue Build_Empty'!G28)-'Revenue Build_Empty'!G27-'Revenue Build_Empty'!G30)))/(1+$F$4)^4+(IF(((('Revenue Build_Empty'!H17*$A55*D$54/1000000)*(1+'Revenue Build_Empty'!H19))-(('Revenue Build_Empty'!H17*$A55*D$54/1000000)*'Revenue Build_Empty'!H28)-'Revenue Build_Empty'!H27-'Revenue Build_Empty'!H30)&gt;0,((('Revenue Build_Empty'!H17*$A55*D$54/1000000)*(1+'Revenue Build_Empty'!H19))-(('Revenue Build_Empty'!H17*$A55*D$54/1000000)*'Revenue Build_Empty'!H28)-'Revenue Build_Empty'!H27-'Revenue Build_Empty'!H30)*(1-23.6%),((('Revenue Build_Empty'!H17*$A55*D$54/1000000)*(1+'Revenue Build_Empty'!H19))-(('Revenue Build_Empty'!H17*$A55*D$54/1000000)*'Revenue Build_Empty'!H28)-'Revenue Build_Empty'!H27-'Revenue Build_Empty'!H30)))/(1+$F$4)^5+(IF(((('Revenue Build_Empty'!I17*$A55*D$54/1000000)*(1+'Revenue Build_Empty'!I19))-(('Revenue Build_Empty'!I17*$A55*D$54/1000000)*'Revenue Build_Empty'!I28)-'Revenue Build_Empty'!I27-'Revenue Build_Empty'!I30)&gt;0,((('Revenue Build_Empty'!I17*$A55*D$54/1000000)*(1+'Revenue Build_Empty'!I19))-(('Revenue Build_Empty'!I17*$A55*D$54/1000000)*'Revenue Build_Empty'!I28)-'Revenue Build_Empty'!I27-'Revenue Build_Empty'!I30)*(1-23.6%),((('Revenue Build_Empty'!I17*$A55*D$54/1000000)*(1+'Revenue Build_Empty'!I19))-(('Revenue Build_Empty'!I17*$A55*D$54/1000000)*'Revenue Build_Empty'!I28)-'Revenue Build_Empty'!I27-'Revenue Build_Empty'!I30)))/(1+$F$4)^6</f>
        <v>-26.497490613459529</v>
      </c>
      <c r="E55" s="3">
        <f>$B$17+(IF(((('Revenue Build_Empty'!D17*$A55*E$54/1000000)*(1+'Revenue Build_Empty'!D19))-(('Revenue Build_Empty'!D17*$A55*E$54/1000000)*'Revenue Build_Empty'!D28)-'Revenue Build_Empty'!D27-'Revenue Build_Empty'!D30)&gt;0,((('Revenue Build_Empty'!D17*$A55*E$54/1000000)*(1+'Revenue Build_Empty'!D19))-(('Revenue Build_Empty'!D17*$A55*E$54/1000000)*'Revenue Build_Empty'!D28)-'Revenue Build_Empty'!D27-'Revenue Build_Empty'!D30)*(1-23.6%),((('Revenue Build_Empty'!D17*$A55*E$54/1000000)*(1+'Revenue Build_Empty'!D19))-(('Revenue Build_Empty'!D17*$A55*E$54/1000000)*'Revenue Build_Empty'!D28)-'Revenue Build_Empty'!D27-'Revenue Build_Empty'!D30)))/(1+$F$4)^1+(IF(((('Revenue Build_Empty'!E17*$A55*E$54/1000000)*(1+'Revenue Build_Empty'!E19))-(('Revenue Build_Empty'!E17*$A55*E$54/1000000)*'Revenue Build_Empty'!E28)-'Revenue Build_Empty'!E27-'Revenue Build_Empty'!E30)&gt;0,((('Revenue Build_Empty'!E17*$A55*E$54/1000000)*(1+'Revenue Build_Empty'!E19))-(('Revenue Build_Empty'!E17*$A55*E$54/1000000)*'Revenue Build_Empty'!E28)-'Revenue Build_Empty'!E27-'Revenue Build_Empty'!E30)*(1-23.6%),((('Revenue Build_Empty'!E17*$A55*E$54/1000000)*(1+'Revenue Build_Empty'!E19))-(('Revenue Build_Empty'!E17*$A55*E$54/1000000)*'Revenue Build_Empty'!E28)-'Revenue Build_Empty'!E27-'Revenue Build_Empty'!E30)))/(1+$F$4)^2+(IF(((('Revenue Build_Empty'!F17*$A55*E$54/1000000)*(1+'Revenue Build_Empty'!F19))-(('Revenue Build_Empty'!F17*$A55*E$54/1000000)*'Revenue Build_Empty'!F28)-'Revenue Build_Empty'!F27-'Revenue Build_Empty'!F30)&gt;0,((('Revenue Build_Empty'!F17*$A55*E$54/1000000)*(1+'Revenue Build_Empty'!F19))-(('Revenue Build_Empty'!F17*$A55*E$54/1000000)*'Revenue Build_Empty'!F28)-'Revenue Build_Empty'!F27-'Revenue Build_Empty'!F30)*(1-23.6%),((('Revenue Build_Empty'!F17*$A55*E$54/1000000)*(1+'Revenue Build_Empty'!F19))-(('Revenue Build_Empty'!F17*$A55*E$54/1000000)*'Revenue Build_Empty'!F28)-'Revenue Build_Empty'!F27-'Revenue Build_Empty'!F30)))/(1+$F$4)^3+(IF(((('Revenue Build_Empty'!G17*$A55*E$54/1000000)*(1+'Revenue Build_Empty'!G19))-(('Revenue Build_Empty'!G17*$A55*E$54/1000000)*'Revenue Build_Empty'!G28)-'Revenue Build_Empty'!G27-'Revenue Build_Empty'!G30)&gt;0,((('Revenue Build_Empty'!G17*$A55*E$54/1000000)*(1+'Revenue Build_Empty'!G19))-(('Revenue Build_Empty'!G17*$A55*E$54/1000000)*'Revenue Build_Empty'!G28)-'Revenue Build_Empty'!G27-'Revenue Build_Empty'!G30)*(1-23.6%),((('Revenue Build_Empty'!G17*$A55*E$54/1000000)*(1+'Revenue Build_Empty'!G19))-(('Revenue Build_Empty'!G17*$A55*E$54/1000000)*'Revenue Build_Empty'!G28)-'Revenue Build_Empty'!G27-'Revenue Build_Empty'!G30)))/(1+$F$4)^4+(IF(((('Revenue Build_Empty'!H17*$A55*E$54/1000000)*(1+'Revenue Build_Empty'!H19))-(('Revenue Build_Empty'!H17*$A55*E$54/1000000)*'Revenue Build_Empty'!H28)-'Revenue Build_Empty'!H27-'Revenue Build_Empty'!H30)&gt;0,((('Revenue Build_Empty'!H17*$A55*E$54/1000000)*(1+'Revenue Build_Empty'!H19))-(('Revenue Build_Empty'!H17*$A55*E$54/1000000)*'Revenue Build_Empty'!H28)-'Revenue Build_Empty'!H27-'Revenue Build_Empty'!H30)*(1-23.6%),((('Revenue Build_Empty'!H17*$A55*E$54/1000000)*(1+'Revenue Build_Empty'!H19))-(('Revenue Build_Empty'!H17*$A55*E$54/1000000)*'Revenue Build_Empty'!H28)-'Revenue Build_Empty'!H27-'Revenue Build_Empty'!H30)))/(1+$F$4)^5+(IF(((('Revenue Build_Empty'!I17*$A55*E$54/1000000)*(1+'Revenue Build_Empty'!I19))-(('Revenue Build_Empty'!I17*$A55*E$54/1000000)*'Revenue Build_Empty'!I28)-'Revenue Build_Empty'!I27-'Revenue Build_Empty'!I30)&gt;0,((('Revenue Build_Empty'!I17*$A55*E$54/1000000)*(1+'Revenue Build_Empty'!I19))-(('Revenue Build_Empty'!I17*$A55*E$54/1000000)*'Revenue Build_Empty'!I28)-'Revenue Build_Empty'!I27-'Revenue Build_Empty'!I30)*(1-23.6%),((('Revenue Build_Empty'!I17*$A55*E$54/1000000)*(1+'Revenue Build_Empty'!I19))-(('Revenue Build_Empty'!I17*$A55*E$54/1000000)*'Revenue Build_Empty'!I28)-'Revenue Build_Empty'!I27-'Revenue Build_Empty'!I30)))/(1+$F$4)^6</f>
        <v>2.6849561901044829</v>
      </c>
      <c r="F55" s="3">
        <f>$B$17+(IF(((('Revenue Build_Empty'!D17*$A55*F$54/1000000)*(1+'Revenue Build_Empty'!D19))-(('Revenue Build_Empty'!D17*$A55*F$54/1000000)*'Revenue Build_Empty'!D28)-'Revenue Build_Empty'!D27-'Revenue Build_Empty'!D30)&gt;0,((('Revenue Build_Empty'!D17*$A55*F$54/1000000)*(1+'Revenue Build_Empty'!D19))-(('Revenue Build_Empty'!D17*$A55*F$54/1000000)*'Revenue Build_Empty'!D28)-'Revenue Build_Empty'!D27-'Revenue Build_Empty'!D30)*(1-23.6%),((('Revenue Build_Empty'!D17*$A55*F$54/1000000)*(1+'Revenue Build_Empty'!D19))-(('Revenue Build_Empty'!D17*$A55*F$54/1000000)*'Revenue Build_Empty'!D28)-'Revenue Build_Empty'!D27-'Revenue Build_Empty'!D30)))/(1+$F$4)^1+(IF(((('Revenue Build_Empty'!E17*$A55*F$54/1000000)*(1+'Revenue Build_Empty'!E19))-(('Revenue Build_Empty'!E17*$A55*F$54/1000000)*'Revenue Build_Empty'!E28)-'Revenue Build_Empty'!E27-'Revenue Build_Empty'!E30)&gt;0,((('Revenue Build_Empty'!E17*$A55*F$54/1000000)*(1+'Revenue Build_Empty'!E19))-(('Revenue Build_Empty'!E17*$A55*F$54/1000000)*'Revenue Build_Empty'!E28)-'Revenue Build_Empty'!E27-'Revenue Build_Empty'!E30)*(1-23.6%),((('Revenue Build_Empty'!E17*$A55*F$54/1000000)*(1+'Revenue Build_Empty'!E19))-(('Revenue Build_Empty'!E17*$A55*F$54/1000000)*'Revenue Build_Empty'!E28)-'Revenue Build_Empty'!E27-'Revenue Build_Empty'!E30)))/(1+$F$4)^2+(IF(((('Revenue Build_Empty'!F17*$A55*F$54/1000000)*(1+'Revenue Build_Empty'!F19))-(('Revenue Build_Empty'!F17*$A55*F$54/1000000)*'Revenue Build_Empty'!F28)-'Revenue Build_Empty'!F27-'Revenue Build_Empty'!F30)&gt;0,((('Revenue Build_Empty'!F17*$A55*F$54/1000000)*(1+'Revenue Build_Empty'!F19))-(('Revenue Build_Empty'!F17*$A55*F$54/1000000)*'Revenue Build_Empty'!F28)-'Revenue Build_Empty'!F27-'Revenue Build_Empty'!F30)*(1-23.6%),((('Revenue Build_Empty'!F17*$A55*F$54/1000000)*(1+'Revenue Build_Empty'!F19))-(('Revenue Build_Empty'!F17*$A55*F$54/1000000)*'Revenue Build_Empty'!F28)-'Revenue Build_Empty'!F27-'Revenue Build_Empty'!F30)))/(1+$F$4)^3+(IF(((('Revenue Build_Empty'!G17*$A55*F$54/1000000)*(1+'Revenue Build_Empty'!G19))-(('Revenue Build_Empty'!G17*$A55*F$54/1000000)*'Revenue Build_Empty'!G28)-'Revenue Build_Empty'!G27-'Revenue Build_Empty'!G30)&gt;0,((('Revenue Build_Empty'!G17*$A55*F$54/1000000)*(1+'Revenue Build_Empty'!G19))-(('Revenue Build_Empty'!G17*$A55*F$54/1000000)*'Revenue Build_Empty'!G28)-'Revenue Build_Empty'!G27-'Revenue Build_Empty'!G30)*(1-23.6%),((('Revenue Build_Empty'!G17*$A55*F$54/1000000)*(1+'Revenue Build_Empty'!G19))-(('Revenue Build_Empty'!G17*$A55*F$54/1000000)*'Revenue Build_Empty'!G28)-'Revenue Build_Empty'!G27-'Revenue Build_Empty'!G30)))/(1+$F$4)^4+(IF(((('Revenue Build_Empty'!H17*$A55*F$54/1000000)*(1+'Revenue Build_Empty'!H19))-(('Revenue Build_Empty'!H17*$A55*F$54/1000000)*'Revenue Build_Empty'!H28)-'Revenue Build_Empty'!H27-'Revenue Build_Empty'!H30)&gt;0,((('Revenue Build_Empty'!H17*$A55*F$54/1000000)*(1+'Revenue Build_Empty'!H19))-(('Revenue Build_Empty'!H17*$A55*F$54/1000000)*'Revenue Build_Empty'!H28)-'Revenue Build_Empty'!H27-'Revenue Build_Empty'!H30)*(1-23.6%),((('Revenue Build_Empty'!H17*$A55*F$54/1000000)*(1+'Revenue Build_Empty'!H19))-(('Revenue Build_Empty'!H17*$A55*F$54/1000000)*'Revenue Build_Empty'!H28)-'Revenue Build_Empty'!H27-'Revenue Build_Empty'!H30)))/(1+$F$4)^5+(IF(((('Revenue Build_Empty'!I17*$A55*F$54/1000000)*(1+'Revenue Build_Empty'!I19))-(('Revenue Build_Empty'!I17*$A55*F$54/1000000)*'Revenue Build_Empty'!I28)-'Revenue Build_Empty'!I27-'Revenue Build_Empty'!I30)&gt;0,((('Revenue Build_Empty'!I17*$A55*F$54/1000000)*(1+'Revenue Build_Empty'!I19))-(('Revenue Build_Empty'!I17*$A55*F$54/1000000)*'Revenue Build_Empty'!I28)-'Revenue Build_Empty'!I27-'Revenue Build_Empty'!I30)*(1-23.6%),((('Revenue Build_Empty'!I17*$A55*F$54/1000000)*(1+'Revenue Build_Empty'!I19))-(('Revenue Build_Empty'!I17*$A55*F$54/1000000)*'Revenue Build_Empty'!I28)-'Revenue Build_Empty'!I27-'Revenue Build_Empty'!I30)))/(1+$F$4)^6</f>
        <v>30.874150492459833</v>
      </c>
      <c r="G55" s="3"/>
      <c r="H55" s="3"/>
    </row>
    <row r="56" spans="1:8">
      <c r="A56" s="43">
        <v>0.85</v>
      </c>
      <c r="B56" s="3">
        <f>$B$17+(IF(((('Revenue Build_Empty'!D17*$A56*B$54/1000000)*(1+'Revenue Build_Empty'!D19))-(('Revenue Build_Empty'!D17*$A56*B$54/1000000)*'Revenue Build_Empty'!D28)-'Revenue Build_Empty'!D27-'Revenue Build_Empty'!D30)&gt;0,((('Revenue Build_Empty'!D17*$A56*B$54/1000000)*(1+'Revenue Build_Empty'!D19))-(('Revenue Build_Empty'!D17*$A56*B$54/1000000)*'Revenue Build_Empty'!D28)-'Revenue Build_Empty'!D27-'Revenue Build_Empty'!D30)*(1-23.6%),((('Revenue Build_Empty'!D17*$A56*B$54/1000000)*(1+'Revenue Build_Empty'!D19))-(('Revenue Build_Empty'!D17*$A56*B$54/1000000)*'Revenue Build_Empty'!D28)-'Revenue Build_Empty'!D27-'Revenue Build_Empty'!D30)))/(1+$F$4)^1+(IF(((('Revenue Build_Empty'!E17*$A56*B$54/1000000)*(1+'Revenue Build_Empty'!E19))-(('Revenue Build_Empty'!E17*$A56*B$54/1000000)*'Revenue Build_Empty'!E28)-'Revenue Build_Empty'!E27-'Revenue Build_Empty'!E30)&gt;0,((('Revenue Build_Empty'!E17*$A56*B$54/1000000)*(1+'Revenue Build_Empty'!E19))-(('Revenue Build_Empty'!E17*$A56*B$54/1000000)*'Revenue Build_Empty'!E28)-'Revenue Build_Empty'!E27-'Revenue Build_Empty'!E30)*(1-23.6%),((('Revenue Build_Empty'!E17*$A56*B$54/1000000)*(1+'Revenue Build_Empty'!E19))-(('Revenue Build_Empty'!E17*$A56*B$54/1000000)*'Revenue Build_Empty'!E28)-'Revenue Build_Empty'!E27-'Revenue Build_Empty'!E30)))/(1+$F$4)^2+(IF(((('Revenue Build_Empty'!F17*$A56*B$54/1000000)*(1+'Revenue Build_Empty'!F19))-(('Revenue Build_Empty'!F17*$A56*B$54/1000000)*'Revenue Build_Empty'!F28)-'Revenue Build_Empty'!F27-'Revenue Build_Empty'!F30)&gt;0,((('Revenue Build_Empty'!F17*$A56*B$54/1000000)*(1+'Revenue Build_Empty'!F19))-(('Revenue Build_Empty'!F17*$A56*B$54/1000000)*'Revenue Build_Empty'!F28)-'Revenue Build_Empty'!F27-'Revenue Build_Empty'!F30)*(1-23.6%),((('Revenue Build_Empty'!F17*$A56*B$54/1000000)*(1+'Revenue Build_Empty'!F19))-(('Revenue Build_Empty'!F17*$A56*B$54/1000000)*'Revenue Build_Empty'!F28)-'Revenue Build_Empty'!F27-'Revenue Build_Empty'!F30)))/(1+$F$4)^3+(IF(((('Revenue Build_Empty'!G17*$A56*B$54/1000000)*(1+'Revenue Build_Empty'!G19))-(('Revenue Build_Empty'!G17*$A56*B$54/1000000)*'Revenue Build_Empty'!G28)-'Revenue Build_Empty'!G27-'Revenue Build_Empty'!G30)&gt;0,((('Revenue Build_Empty'!G17*$A56*B$54/1000000)*(1+'Revenue Build_Empty'!G19))-(('Revenue Build_Empty'!G17*$A56*B$54/1000000)*'Revenue Build_Empty'!G28)-'Revenue Build_Empty'!G27-'Revenue Build_Empty'!G30)*(1-23.6%),((('Revenue Build_Empty'!G17*$A56*B$54/1000000)*(1+'Revenue Build_Empty'!G19))-(('Revenue Build_Empty'!G17*$A56*B$54/1000000)*'Revenue Build_Empty'!G28)-'Revenue Build_Empty'!G27-'Revenue Build_Empty'!G30)))/(1+$F$4)^4+(IF(((('Revenue Build_Empty'!H17*$A56*B$54/1000000)*(1+'Revenue Build_Empty'!H19))-(('Revenue Build_Empty'!H17*$A56*B$54/1000000)*'Revenue Build_Empty'!H28)-'Revenue Build_Empty'!H27-'Revenue Build_Empty'!H30)&gt;0,((('Revenue Build_Empty'!H17*$A56*B$54/1000000)*(1+'Revenue Build_Empty'!H19))-(('Revenue Build_Empty'!H17*$A56*B$54/1000000)*'Revenue Build_Empty'!H28)-'Revenue Build_Empty'!H27-'Revenue Build_Empty'!H30)*(1-23.6%),((('Revenue Build_Empty'!H17*$A56*B$54/1000000)*(1+'Revenue Build_Empty'!H19))-(('Revenue Build_Empty'!H17*$A56*B$54/1000000)*'Revenue Build_Empty'!H28)-'Revenue Build_Empty'!H27-'Revenue Build_Empty'!H30)))/(1+$F$4)^5+(IF(((('Revenue Build_Empty'!I17*$A56*B$54/1000000)*(1+'Revenue Build_Empty'!I19))-(('Revenue Build_Empty'!I17*$A56*B$54/1000000)*'Revenue Build_Empty'!I28)-'Revenue Build_Empty'!I27-'Revenue Build_Empty'!I30)&gt;0,((('Revenue Build_Empty'!I17*$A56*B$54/1000000)*(1+'Revenue Build_Empty'!I19))-(('Revenue Build_Empty'!I17*$A56*B$54/1000000)*'Revenue Build_Empty'!I28)-'Revenue Build_Empty'!I27-'Revenue Build_Empty'!I30)*(1-23.6%),((('Revenue Build_Empty'!I17*$A56*B$54/1000000)*(1+'Revenue Build_Empty'!I19))-(('Revenue Build_Empty'!I17*$A56*B$54/1000000)*'Revenue Build_Empty'!I28)-'Revenue Build_Empty'!I27-'Revenue Build_Empty'!I30)))/(1+$F$4)^6</f>
        <v>-79.829385940069955</v>
      </c>
      <c r="C56" s="3">
        <f>$B$17+(IF(((('Revenue Build_Empty'!D17*$A56*C$54/1000000)*(1+'Revenue Build_Empty'!D19))-(('Revenue Build_Empty'!D17*$A56*C$54/1000000)*'Revenue Build_Empty'!D28)-'Revenue Build_Empty'!D27-'Revenue Build_Empty'!D30)&gt;0,((('Revenue Build_Empty'!D17*$A56*C$54/1000000)*(1+'Revenue Build_Empty'!D19))-(('Revenue Build_Empty'!D17*$A56*C$54/1000000)*'Revenue Build_Empty'!D28)-'Revenue Build_Empty'!D27-'Revenue Build_Empty'!D30)*(1-23.6%),((('Revenue Build_Empty'!D17*$A56*C$54/1000000)*(1+'Revenue Build_Empty'!D19))-(('Revenue Build_Empty'!D17*$A56*C$54/1000000)*'Revenue Build_Empty'!D28)-'Revenue Build_Empty'!D27-'Revenue Build_Empty'!D30)))/(1+$F$4)^1+(IF(((('Revenue Build_Empty'!E17*$A56*C$54/1000000)*(1+'Revenue Build_Empty'!E19))-(('Revenue Build_Empty'!E17*$A56*C$54/1000000)*'Revenue Build_Empty'!E28)-'Revenue Build_Empty'!E27-'Revenue Build_Empty'!E30)&gt;0,((('Revenue Build_Empty'!E17*$A56*C$54/1000000)*(1+'Revenue Build_Empty'!E19))-(('Revenue Build_Empty'!E17*$A56*C$54/1000000)*'Revenue Build_Empty'!E28)-'Revenue Build_Empty'!E27-'Revenue Build_Empty'!E30)*(1-23.6%),((('Revenue Build_Empty'!E17*$A56*C$54/1000000)*(1+'Revenue Build_Empty'!E19))-(('Revenue Build_Empty'!E17*$A56*C$54/1000000)*'Revenue Build_Empty'!E28)-'Revenue Build_Empty'!E27-'Revenue Build_Empty'!E30)))/(1+$F$4)^2+(IF(((('Revenue Build_Empty'!F17*$A56*C$54/1000000)*(1+'Revenue Build_Empty'!F19))-(('Revenue Build_Empty'!F17*$A56*C$54/1000000)*'Revenue Build_Empty'!F28)-'Revenue Build_Empty'!F27-'Revenue Build_Empty'!F30)&gt;0,((('Revenue Build_Empty'!F17*$A56*C$54/1000000)*(1+'Revenue Build_Empty'!F19))-(('Revenue Build_Empty'!F17*$A56*C$54/1000000)*'Revenue Build_Empty'!F28)-'Revenue Build_Empty'!F27-'Revenue Build_Empty'!F30)*(1-23.6%),((('Revenue Build_Empty'!F17*$A56*C$54/1000000)*(1+'Revenue Build_Empty'!F19))-(('Revenue Build_Empty'!F17*$A56*C$54/1000000)*'Revenue Build_Empty'!F28)-'Revenue Build_Empty'!F27-'Revenue Build_Empty'!F30)))/(1+$F$4)^3+(IF(((('Revenue Build_Empty'!G17*$A56*C$54/1000000)*(1+'Revenue Build_Empty'!G19))-(('Revenue Build_Empty'!G17*$A56*C$54/1000000)*'Revenue Build_Empty'!G28)-'Revenue Build_Empty'!G27-'Revenue Build_Empty'!G30)&gt;0,((('Revenue Build_Empty'!G17*$A56*C$54/1000000)*(1+'Revenue Build_Empty'!G19))-(('Revenue Build_Empty'!G17*$A56*C$54/1000000)*'Revenue Build_Empty'!G28)-'Revenue Build_Empty'!G27-'Revenue Build_Empty'!G30)*(1-23.6%),((('Revenue Build_Empty'!G17*$A56*C$54/1000000)*(1+'Revenue Build_Empty'!G19))-(('Revenue Build_Empty'!G17*$A56*C$54/1000000)*'Revenue Build_Empty'!G28)-'Revenue Build_Empty'!G27-'Revenue Build_Empty'!G30)))/(1+$F$4)^4+(IF(((('Revenue Build_Empty'!H17*$A56*C$54/1000000)*(1+'Revenue Build_Empty'!H19))-(('Revenue Build_Empty'!H17*$A56*C$54/1000000)*'Revenue Build_Empty'!H28)-'Revenue Build_Empty'!H27-'Revenue Build_Empty'!H30)&gt;0,((('Revenue Build_Empty'!H17*$A56*C$54/1000000)*(1+'Revenue Build_Empty'!H19))-(('Revenue Build_Empty'!H17*$A56*C$54/1000000)*'Revenue Build_Empty'!H28)-'Revenue Build_Empty'!H27-'Revenue Build_Empty'!H30)*(1-23.6%),((('Revenue Build_Empty'!H17*$A56*C$54/1000000)*(1+'Revenue Build_Empty'!H19))-(('Revenue Build_Empty'!H17*$A56*C$54/1000000)*'Revenue Build_Empty'!H28)-'Revenue Build_Empty'!H27-'Revenue Build_Empty'!H30)))/(1+$F$4)^5+(IF(((('Revenue Build_Empty'!I17*$A56*C$54/1000000)*(1+'Revenue Build_Empty'!I19))-(('Revenue Build_Empty'!I17*$A56*C$54/1000000)*'Revenue Build_Empty'!I28)-'Revenue Build_Empty'!I27-'Revenue Build_Empty'!I30)&gt;0,((('Revenue Build_Empty'!I17*$A56*C$54/1000000)*(1+'Revenue Build_Empty'!I19))-(('Revenue Build_Empty'!I17*$A56*C$54/1000000)*'Revenue Build_Empty'!I28)-'Revenue Build_Empty'!I27-'Revenue Build_Empty'!I30)*(1-23.6%),((('Revenue Build_Empty'!I17*$A56*C$54/1000000)*(1+'Revenue Build_Empty'!I19))-(('Revenue Build_Empty'!I17*$A56*C$54/1000000)*'Revenue Build_Empty'!I28)-'Revenue Build_Empty'!I27-'Revenue Build_Empty'!I30)))/(1+$F$4)^6</f>
        <v>-41.300408269645942</v>
      </c>
      <c r="D56" s="3">
        <f>$B$17+(IF(((('Revenue Build_Empty'!D17*$A56*D$54/1000000)*(1+'Revenue Build_Empty'!D19))-(('Revenue Build_Empty'!D17*$A56*D$54/1000000)*'Revenue Build_Empty'!D28)-'Revenue Build_Empty'!D27-'Revenue Build_Empty'!D30)&gt;0,((('Revenue Build_Empty'!D17*$A56*D$54/1000000)*(1+'Revenue Build_Empty'!D19))-(('Revenue Build_Empty'!D17*$A56*D$54/1000000)*'Revenue Build_Empty'!D28)-'Revenue Build_Empty'!D27-'Revenue Build_Empty'!D30)*(1-23.6%),((('Revenue Build_Empty'!D17*$A56*D$54/1000000)*(1+'Revenue Build_Empty'!D19))-(('Revenue Build_Empty'!D17*$A56*D$54/1000000)*'Revenue Build_Empty'!D28)-'Revenue Build_Empty'!D27-'Revenue Build_Empty'!D30)))/(1+$F$4)^1+(IF(((('Revenue Build_Empty'!E17*$A56*D$54/1000000)*(1+'Revenue Build_Empty'!E19))-(('Revenue Build_Empty'!E17*$A56*D$54/1000000)*'Revenue Build_Empty'!E28)-'Revenue Build_Empty'!E27-'Revenue Build_Empty'!E30)&gt;0,((('Revenue Build_Empty'!E17*$A56*D$54/1000000)*(1+'Revenue Build_Empty'!E19))-(('Revenue Build_Empty'!E17*$A56*D$54/1000000)*'Revenue Build_Empty'!E28)-'Revenue Build_Empty'!E27-'Revenue Build_Empty'!E30)*(1-23.6%),((('Revenue Build_Empty'!E17*$A56*D$54/1000000)*(1+'Revenue Build_Empty'!E19))-(('Revenue Build_Empty'!E17*$A56*D$54/1000000)*'Revenue Build_Empty'!E28)-'Revenue Build_Empty'!E27-'Revenue Build_Empty'!E30)))/(1+$F$4)^2+(IF(((('Revenue Build_Empty'!F17*$A56*D$54/1000000)*(1+'Revenue Build_Empty'!F19))-(('Revenue Build_Empty'!F17*$A56*D$54/1000000)*'Revenue Build_Empty'!F28)-'Revenue Build_Empty'!F27-'Revenue Build_Empty'!F30)&gt;0,((('Revenue Build_Empty'!F17*$A56*D$54/1000000)*(1+'Revenue Build_Empty'!F19))-(('Revenue Build_Empty'!F17*$A56*D$54/1000000)*'Revenue Build_Empty'!F28)-'Revenue Build_Empty'!F27-'Revenue Build_Empty'!F30)*(1-23.6%),((('Revenue Build_Empty'!F17*$A56*D$54/1000000)*(1+'Revenue Build_Empty'!F19))-(('Revenue Build_Empty'!F17*$A56*D$54/1000000)*'Revenue Build_Empty'!F28)-'Revenue Build_Empty'!F27-'Revenue Build_Empty'!F30)))/(1+$F$4)^3+(IF(((('Revenue Build_Empty'!G17*$A56*D$54/1000000)*(1+'Revenue Build_Empty'!G19))-(('Revenue Build_Empty'!G17*$A56*D$54/1000000)*'Revenue Build_Empty'!G28)-'Revenue Build_Empty'!G27-'Revenue Build_Empty'!G30)&gt;0,((('Revenue Build_Empty'!G17*$A56*D$54/1000000)*(1+'Revenue Build_Empty'!G19))-(('Revenue Build_Empty'!G17*$A56*D$54/1000000)*'Revenue Build_Empty'!G28)-'Revenue Build_Empty'!G27-'Revenue Build_Empty'!G30)*(1-23.6%),((('Revenue Build_Empty'!G17*$A56*D$54/1000000)*(1+'Revenue Build_Empty'!G19))-(('Revenue Build_Empty'!G17*$A56*D$54/1000000)*'Revenue Build_Empty'!G28)-'Revenue Build_Empty'!G27-'Revenue Build_Empty'!G30)))/(1+$F$4)^4+(IF(((('Revenue Build_Empty'!H17*$A56*D$54/1000000)*(1+'Revenue Build_Empty'!H19))-(('Revenue Build_Empty'!H17*$A56*D$54/1000000)*'Revenue Build_Empty'!H28)-'Revenue Build_Empty'!H27-'Revenue Build_Empty'!H30)&gt;0,((('Revenue Build_Empty'!H17*$A56*D$54/1000000)*(1+'Revenue Build_Empty'!H19))-(('Revenue Build_Empty'!H17*$A56*D$54/1000000)*'Revenue Build_Empty'!H28)-'Revenue Build_Empty'!H27-'Revenue Build_Empty'!H30)*(1-23.6%),((('Revenue Build_Empty'!H17*$A56*D$54/1000000)*(1+'Revenue Build_Empty'!H19))-(('Revenue Build_Empty'!H17*$A56*D$54/1000000)*'Revenue Build_Empty'!H28)-'Revenue Build_Empty'!H27-'Revenue Build_Empty'!H30)))/(1+$F$4)^5+(IF(((('Revenue Build_Empty'!I17*$A56*D$54/1000000)*(1+'Revenue Build_Empty'!I19))-(('Revenue Build_Empty'!I17*$A56*D$54/1000000)*'Revenue Build_Empty'!I28)-'Revenue Build_Empty'!I27-'Revenue Build_Empty'!I30)&gt;0,((('Revenue Build_Empty'!I17*$A56*D$54/1000000)*(1+'Revenue Build_Empty'!I19))-(('Revenue Build_Empty'!I17*$A56*D$54/1000000)*'Revenue Build_Empty'!I28)-'Revenue Build_Empty'!I27-'Revenue Build_Empty'!I30)*(1-23.6%),((('Revenue Build_Empty'!I17*$A56*D$54/1000000)*(1+'Revenue Build_Empty'!I19))-(('Revenue Build_Empty'!I17*$A56*D$54/1000000)*'Revenue Build_Empty'!I28)-'Revenue Build_Empty'!I27-'Revenue Build_Empty'!I30)))/(1+$F$4)^6</f>
        <v>-5.6528857537709243</v>
      </c>
      <c r="E56" s="3">
        <f>$B$17+(IF(((('Revenue Build_Empty'!D17*$A56*E$54/1000000)*(1+'Revenue Build_Empty'!D19))-(('Revenue Build_Empty'!D17*$A56*E$54/1000000)*'Revenue Build_Empty'!D28)-'Revenue Build_Empty'!D27-'Revenue Build_Empty'!D30)&gt;0,((('Revenue Build_Empty'!D17*$A56*E$54/1000000)*(1+'Revenue Build_Empty'!D19))-(('Revenue Build_Empty'!D17*$A56*E$54/1000000)*'Revenue Build_Empty'!D28)-'Revenue Build_Empty'!D27-'Revenue Build_Empty'!D30)*(1-23.6%),((('Revenue Build_Empty'!D17*$A56*E$54/1000000)*(1+'Revenue Build_Empty'!D19))-(('Revenue Build_Empty'!D17*$A56*E$54/1000000)*'Revenue Build_Empty'!D28)-'Revenue Build_Empty'!D27-'Revenue Build_Empty'!D30)))/(1+$F$4)^1+(IF(((('Revenue Build_Empty'!E17*$A56*E$54/1000000)*(1+'Revenue Build_Empty'!E19))-(('Revenue Build_Empty'!E17*$A56*E$54/1000000)*'Revenue Build_Empty'!E28)-'Revenue Build_Empty'!E27-'Revenue Build_Empty'!E30)&gt;0,((('Revenue Build_Empty'!E17*$A56*E$54/1000000)*(1+'Revenue Build_Empty'!E19))-(('Revenue Build_Empty'!E17*$A56*E$54/1000000)*'Revenue Build_Empty'!E28)-'Revenue Build_Empty'!E27-'Revenue Build_Empty'!E30)*(1-23.6%),((('Revenue Build_Empty'!E17*$A56*E$54/1000000)*(1+'Revenue Build_Empty'!E19))-(('Revenue Build_Empty'!E17*$A56*E$54/1000000)*'Revenue Build_Empty'!E28)-'Revenue Build_Empty'!E27-'Revenue Build_Empty'!E30)))/(1+$F$4)^2+(IF(((('Revenue Build_Empty'!F17*$A56*E$54/1000000)*(1+'Revenue Build_Empty'!F19))-(('Revenue Build_Empty'!F17*$A56*E$54/1000000)*'Revenue Build_Empty'!F28)-'Revenue Build_Empty'!F27-'Revenue Build_Empty'!F30)&gt;0,((('Revenue Build_Empty'!F17*$A56*E$54/1000000)*(1+'Revenue Build_Empty'!F19))-(('Revenue Build_Empty'!F17*$A56*E$54/1000000)*'Revenue Build_Empty'!F28)-'Revenue Build_Empty'!F27-'Revenue Build_Empty'!F30)*(1-23.6%),((('Revenue Build_Empty'!F17*$A56*E$54/1000000)*(1+'Revenue Build_Empty'!F19))-(('Revenue Build_Empty'!F17*$A56*E$54/1000000)*'Revenue Build_Empty'!F28)-'Revenue Build_Empty'!F27-'Revenue Build_Empty'!F30)))/(1+$F$4)^3+(IF(((('Revenue Build_Empty'!G17*$A56*E$54/1000000)*(1+'Revenue Build_Empty'!G19))-(('Revenue Build_Empty'!G17*$A56*E$54/1000000)*'Revenue Build_Empty'!G28)-'Revenue Build_Empty'!G27-'Revenue Build_Empty'!G30)&gt;0,((('Revenue Build_Empty'!G17*$A56*E$54/1000000)*(1+'Revenue Build_Empty'!G19))-(('Revenue Build_Empty'!G17*$A56*E$54/1000000)*'Revenue Build_Empty'!G28)-'Revenue Build_Empty'!G27-'Revenue Build_Empty'!G30)*(1-23.6%),((('Revenue Build_Empty'!G17*$A56*E$54/1000000)*(1+'Revenue Build_Empty'!G19))-(('Revenue Build_Empty'!G17*$A56*E$54/1000000)*'Revenue Build_Empty'!G28)-'Revenue Build_Empty'!G27-'Revenue Build_Empty'!G30)))/(1+$F$4)^4+(IF(((('Revenue Build_Empty'!H17*$A56*E$54/1000000)*(1+'Revenue Build_Empty'!H19))-(('Revenue Build_Empty'!H17*$A56*E$54/1000000)*'Revenue Build_Empty'!H28)-'Revenue Build_Empty'!H27-'Revenue Build_Empty'!H30)&gt;0,((('Revenue Build_Empty'!H17*$A56*E$54/1000000)*(1+'Revenue Build_Empty'!H19))-(('Revenue Build_Empty'!H17*$A56*E$54/1000000)*'Revenue Build_Empty'!H28)-'Revenue Build_Empty'!H27-'Revenue Build_Empty'!H30)*(1-23.6%),((('Revenue Build_Empty'!H17*$A56*E$54/1000000)*(1+'Revenue Build_Empty'!H19))-(('Revenue Build_Empty'!H17*$A56*E$54/1000000)*'Revenue Build_Empty'!H28)-'Revenue Build_Empty'!H27-'Revenue Build_Empty'!H30)))/(1+$F$4)^5+(IF(((('Revenue Build_Empty'!I17*$A56*E$54/1000000)*(1+'Revenue Build_Empty'!I19))-(('Revenue Build_Empty'!I17*$A56*E$54/1000000)*'Revenue Build_Empty'!I28)-'Revenue Build_Empty'!I27-'Revenue Build_Empty'!I30)&gt;0,((('Revenue Build_Empty'!I17*$A56*E$54/1000000)*(1+'Revenue Build_Empty'!I19))-(('Revenue Build_Empty'!I17*$A56*E$54/1000000)*'Revenue Build_Empty'!I28)-'Revenue Build_Empty'!I27-'Revenue Build_Empty'!I30)*(1-23.6%),((('Revenue Build_Empty'!I17*$A56*E$54/1000000)*(1+'Revenue Build_Empty'!I19))-(('Revenue Build_Empty'!I17*$A56*E$54/1000000)*'Revenue Build_Empty'!I28)-'Revenue Build_Empty'!I27-'Revenue Build_Empty'!I30)))/(1+$F$4)^6</f>
        <v>28.867118216587642</v>
      </c>
      <c r="F56" s="3">
        <f>$B$17+(IF(((('Revenue Build_Empty'!D17*$A56*F$54/1000000)*(1+'Revenue Build_Empty'!D19))-(('Revenue Build_Empty'!D17*$A56*F$54/1000000)*'Revenue Build_Empty'!D28)-'Revenue Build_Empty'!D27-'Revenue Build_Empty'!D30)&gt;0,((('Revenue Build_Empty'!D17*$A56*F$54/1000000)*(1+'Revenue Build_Empty'!D19))-(('Revenue Build_Empty'!D17*$A56*F$54/1000000)*'Revenue Build_Empty'!D28)-'Revenue Build_Empty'!D27-'Revenue Build_Empty'!D30)*(1-23.6%),((('Revenue Build_Empty'!D17*$A56*F$54/1000000)*(1+'Revenue Build_Empty'!D19))-(('Revenue Build_Empty'!D17*$A56*F$54/1000000)*'Revenue Build_Empty'!D28)-'Revenue Build_Empty'!D27-'Revenue Build_Empty'!D30)))/(1+$F$4)^1+(IF(((('Revenue Build_Empty'!E17*$A56*F$54/1000000)*(1+'Revenue Build_Empty'!E19))-(('Revenue Build_Empty'!E17*$A56*F$54/1000000)*'Revenue Build_Empty'!E28)-'Revenue Build_Empty'!E27-'Revenue Build_Empty'!E30)&gt;0,((('Revenue Build_Empty'!E17*$A56*F$54/1000000)*(1+'Revenue Build_Empty'!E19))-(('Revenue Build_Empty'!E17*$A56*F$54/1000000)*'Revenue Build_Empty'!E28)-'Revenue Build_Empty'!E27-'Revenue Build_Empty'!E30)*(1-23.6%),((('Revenue Build_Empty'!E17*$A56*F$54/1000000)*(1+'Revenue Build_Empty'!E19))-(('Revenue Build_Empty'!E17*$A56*F$54/1000000)*'Revenue Build_Empty'!E28)-'Revenue Build_Empty'!E27-'Revenue Build_Empty'!E30)))/(1+$F$4)^2+(IF(((('Revenue Build_Empty'!F17*$A56*F$54/1000000)*(1+'Revenue Build_Empty'!F19))-(('Revenue Build_Empty'!F17*$A56*F$54/1000000)*'Revenue Build_Empty'!F28)-'Revenue Build_Empty'!F27-'Revenue Build_Empty'!F30)&gt;0,((('Revenue Build_Empty'!F17*$A56*F$54/1000000)*(1+'Revenue Build_Empty'!F19))-(('Revenue Build_Empty'!F17*$A56*F$54/1000000)*'Revenue Build_Empty'!F28)-'Revenue Build_Empty'!F27-'Revenue Build_Empty'!F30)*(1-23.6%),((('Revenue Build_Empty'!F17*$A56*F$54/1000000)*(1+'Revenue Build_Empty'!F19))-(('Revenue Build_Empty'!F17*$A56*F$54/1000000)*'Revenue Build_Empty'!F28)-'Revenue Build_Empty'!F27-'Revenue Build_Empty'!F30)))/(1+$F$4)^3+(IF(((('Revenue Build_Empty'!G17*$A56*F$54/1000000)*(1+'Revenue Build_Empty'!G19))-(('Revenue Build_Empty'!G17*$A56*F$54/1000000)*'Revenue Build_Empty'!G28)-'Revenue Build_Empty'!G27-'Revenue Build_Empty'!G30)&gt;0,((('Revenue Build_Empty'!G17*$A56*F$54/1000000)*(1+'Revenue Build_Empty'!G19))-(('Revenue Build_Empty'!G17*$A56*F$54/1000000)*'Revenue Build_Empty'!G28)-'Revenue Build_Empty'!G27-'Revenue Build_Empty'!G30)*(1-23.6%),((('Revenue Build_Empty'!G17*$A56*F$54/1000000)*(1+'Revenue Build_Empty'!G19))-(('Revenue Build_Empty'!G17*$A56*F$54/1000000)*'Revenue Build_Empty'!G28)-'Revenue Build_Empty'!G27-'Revenue Build_Empty'!G30)))/(1+$F$4)^4+(IF(((('Revenue Build_Empty'!H17*$A56*F$54/1000000)*(1+'Revenue Build_Empty'!H19))-(('Revenue Build_Empty'!H17*$A56*F$54/1000000)*'Revenue Build_Empty'!H28)-'Revenue Build_Empty'!H27-'Revenue Build_Empty'!H30)&gt;0,((('Revenue Build_Empty'!H17*$A56*F$54/1000000)*(1+'Revenue Build_Empty'!H19))-(('Revenue Build_Empty'!H17*$A56*F$54/1000000)*'Revenue Build_Empty'!H28)-'Revenue Build_Empty'!H27-'Revenue Build_Empty'!H30)*(1-23.6%),((('Revenue Build_Empty'!H17*$A56*F$54/1000000)*(1+'Revenue Build_Empty'!H19))-(('Revenue Build_Empty'!H17*$A56*F$54/1000000)*'Revenue Build_Empty'!H28)-'Revenue Build_Empty'!H27-'Revenue Build_Empty'!H30)))/(1+$F$4)^5+(IF(((('Revenue Build_Empty'!I17*$A56*F$54/1000000)*(1+'Revenue Build_Empty'!I19))-(('Revenue Build_Empty'!I17*$A56*F$54/1000000)*'Revenue Build_Empty'!I28)-'Revenue Build_Empty'!I27-'Revenue Build_Empty'!I30)&gt;0,((('Revenue Build_Empty'!I17*$A56*F$54/1000000)*(1+'Revenue Build_Empty'!I19))-(('Revenue Build_Empty'!I17*$A56*F$54/1000000)*'Revenue Build_Empty'!I28)-'Revenue Build_Empty'!I27-'Revenue Build_Empty'!I30)*(1-23.6%),((('Revenue Build_Empty'!I17*$A56*F$54/1000000)*(1+'Revenue Build_Empty'!I19))-(('Revenue Build_Empty'!I17*$A56*F$54/1000000)*'Revenue Build_Empty'!I28)-'Revenue Build_Empty'!I27-'Revenue Build_Empty'!I30)))/(1+$F$4)^6</f>
        <v>62.986666906414825</v>
      </c>
      <c r="G56" s="3"/>
      <c r="H56" s="3"/>
    </row>
    <row r="57" spans="1:8">
      <c r="A57" s="43">
        <v>1</v>
      </c>
      <c r="B57" s="3">
        <f>$B$17+(IF(((('Revenue Build_Empty'!D17*$A57*B$54/1000000)*(1+'Revenue Build_Empty'!D19))-(('Revenue Build_Empty'!D17*$A57*B$54/1000000)*'Revenue Build_Empty'!D28)-'Revenue Build_Empty'!D27-'Revenue Build_Empty'!D30)&gt;0,((('Revenue Build_Empty'!D17*$A57*B$54/1000000)*(1+'Revenue Build_Empty'!D19))-(('Revenue Build_Empty'!D17*$A57*B$54/1000000)*'Revenue Build_Empty'!D28)-'Revenue Build_Empty'!D27-'Revenue Build_Empty'!D30)*(1-23.6%),((('Revenue Build_Empty'!D17*$A57*B$54/1000000)*(1+'Revenue Build_Empty'!D19))-(('Revenue Build_Empty'!D17*$A57*B$54/1000000)*'Revenue Build_Empty'!D28)-'Revenue Build_Empty'!D27-'Revenue Build_Empty'!D30)))/(1+$F$4)^1+(IF(((('Revenue Build_Empty'!E17*$A57*B$54/1000000)*(1+'Revenue Build_Empty'!E19))-(('Revenue Build_Empty'!E17*$A57*B$54/1000000)*'Revenue Build_Empty'!E28)-'Revenue Build_Empty'!E27-'Revenue Build_Empty'!E30)&gt;0,((('Revenue Build_Empty'!E17*$A57*B$54/1000000)*(1+'Revenue Build_Empty'!E19))-(('Revenue Build_Empty'!E17*$A57*B$54/1000000)*'Revenue Build_Empty'!E28)-'Revenue Build_Empty'!E27-'Revenue Build_Empty'!E30)*(1-23.6%),((('Revenue Build_Empty'!E17*$A57*B$54/1000000)*(1+'Revenue Build_Empty'!E19))-(('Revenue Build_Empty'!E17*$A57*B$54/1000000)*'Revenue Build_Empty'!E28)-'Revenue Build_Empty'!E27-'Revenue Build_Empty'!E30)))/(1+$F$4)^2+(IF(((('Revenue Build_Empty'!F17*$A57*B$54/1000000)*(1+'Revenue Build_Empty'!F19))-(('Revenue Build_Empty'!F17*$A57*B$54/1000000)*'Revenue Build_Empty'!F28)-'Revenue Build_Empty'!F27-'Revenue Build_Empty'!F30)&gt;0,((('Revenue Build_Empty'!F17*$A57*B$54/1000000)*(1+'Revenue Build_Empty'!F19))-(('Revenue Build_Empty'!F17*$A57*B$54/1000000)*'Revenue Build_Empty'!F28)-'Revenue Build_Empty'!F27-'Revenue Build_Empty'!F30)*(1-23.6%),((('Revenue Build_Empty'!F17*$A57*B$54/1000000)*(1+'Revenue Build_Empty'!F19))-(('Revenue Build_Empty'!F17*$A57*B$54/1000000)*'Revenue Build_Empty'!F28)-'Revenue Build_Empty'!F27-'Revenue Build_Empty'!F30)))/(1+$F$4)^3+(IF(((('Revenue Build_Empty'!G17*$A57*B$54/1000000)*(1+'Revenue Build_Empty'!G19))-(('Revenue Build_Empty'!G17*$A57*B$54/1000000)*'Revenue Build_Empty'!G28)-'Revenue Build_Empty'!G27-'Revenue Build_Empty'!G30)&gt;0,((('Revenue Build_Empty'!G17*$A57*B$54/1000000)*(1+'Revenue Build_Empty'!G19))-(('Revenue Build_Empty'!G17*$A57*B$54/1000000)*'Revenue Build_Empty'!G28)-'Revenue Build_Empty'!G27-'Revenue Build_Empty'!G30)*(1-23.6%),((('Revenue Build_Empty'!G17*$A57*B$54/1000000)*(1+'Revenue Build_Empty'!G19))-(('Revenue Build_Empty'!G17*$A57*B$54/1000000)*'Revenue Build_Empty'!G28)-'Revenue Build_Empty'!G27-'Revenue Build_Empty'!G30)))/(1+$F$4)^4+(IF(((('Revenue Build_Empty'!H17*$A57*B$54/1000000)*(1+'Revenue Build_Empty'!H19))-(('Revenue Build_Empty'!H17*$A57*B$54/1000000)*'Revenue Build_Empty'!H28)-'Revenue Build_Empty'!H27-'Revenue Build_Empty'!H30)&gt;0,((('Revenue Build_Empty'!H17*$A57*B$54/1000000)*(1+'Revenue Build_Empty'!H19))-(('Revenue Build_Empty'!H17*$A57*B$54/1000000)*'Revenue Build_Empty'!H28)-'Revenue Build_Empty'!H27-'Revenue Build_Empty'!H30)*(1-23.6%),((('Revenue Build_Empty'!H17*$A57*B$54/1000000)*(1+'Revenue Build_Empty'!H19))-(('Revenue Build_Empty'!H17*$A57*B$54/1000000)*'Revenue Build_Empty'!H28)-'Revenue Build_Empty'!H27-'Revenue Build_Empty'!H30)))/(1+$F$4)^5+(IF(((('Revenue Build_Empty'!I17*$A57*B$54/1000000)*(1+'Revenue Build_Empty'!I19))-(('Revenue Build_Empty'!I17*$A57*B$54/1000000)*'Revenue Build_Empty'!I28)-'Revenue Build_Empty'!I27-'Revenue Build_Empty'!I30)&gt;0,((('Revenue Build_Empty'!I17*$A57*B$54/1000000)*(1+'Revenue Build_Empty'!I19))-(('Revenue Build_Empty'!I17*$A57*B$54/1000000)*'Revenue Build_Empty'!I28)-'Revenue Build_Empty'!I27-'Revenue Build_Empty'!I30)*(1-23.6%),((('Revenue Build_Empty'!I17*$A57*B$54/1000000)*(1+'Revenue Build_Empty'!I19))-(('Revenue Build_Empty'!I17*$A57*B$54/1000000)*'Revenue Build_Empty'!I28)-'Revenue Build_Empty'!I27-'Revenue Build_Empty'!I30)))/(1+$F$4)^6</f>
        <v>-70.382801411996454</v>
      </c>
      <c r="C57" s="3">
        <f>$B$17+(IF(((('Revenue Build_Empty'!D17*$A57*C$54/1000000)*(1+'Revenue Build_Empty'!D19))-(('Revenue Build_Empty'!D17*$A57*C$54/1000000)*'Revenue Build_Empty'!D28)-'Revenue Build_Empty'!D27-'Revenue Build_Empty'!D30)&gt;0,((('Revenue Build_Empty'!D17*$A57*C$54/1000000)*(1+'Revenue Build_Empty'!D19))-(('Revenue Build_Empty'!D17*$A57*C$54/1000000)*'Revenue Build_Empty'!D28)-'Revenue Build_Empty'!D27-'Revenue Build_Empty'!D30)*(1-23.6%),((('Revenue Build_Empty'!D17*$A57*C$54/1000000)*(1+'Revenue Build_Empty'!D19))-(('Revenue Build_Empty'!D17*$A57*C$54/1000000)*'Revenue Build_Empty'!D28)-'Revenue Build_Empty'!D27-'Revenue Build_Empty'!D30)))/(1+$F$4)^1+(IF(((('Revenue Build_Empty'!E17*$A57*C$54/1000000)*(1+'Revenue Build_Empty'!E19))-(('Revenue Build_Empty'!E17*$A57*C$54/1000000)*'Revenue Build_Empty'!E28)-'Revenue Build_Empty'!E27-'Revenue Build_Empty'!E30)&gt;0,((('Revenue Build_Empty'!E17*$A57*C$54/1000000)*(1+'Revenue Build_Empty'!E19))-(('Revenue Build_Empty'!E17*$A57*C$54/1000000)*'Revenue Build_Empty'!E28)-'Revenue Build_Empty'!E27-'Revenue Build_Empty'!E30)*(1-23.6%),((('Revenue Build_Empty'!E17*$A57*C$54/1000000)*(1+'Revenue Build_Empty'!E19))-(('Revenue Build_Empty'!E17*$A57*C$54/1000000)*'Revenue Build_Empty'!E28)-'Revenue Build_Empty'!E27-'Revenue Build_Empty'!E30)))/(1+$F$4)^2+(IF(((('Revenue Build_Empty'!F17*$A57*C$54/1000000)*(1+'Revenue Build_Empty'!F19))-(('Revenue Build_Empty'!F17*$A57*C$54/1000000)*'Revenue Build_Empty'!F28)-'Revenue Build_Empty'!F27-'Revenue Build_Empty'!F30)&gt;0,((('Revenue Build_Empty'!F17*$A57*C$54/1000000)*(1+'Revenue Build_Empty'!F19))-(('Revenue Build_Empty'!F17*$A57*C$54/1000000)*'Revenue Build_Empty'!F28)-'Revenue Build_Empty'!F27-'Revenue Build_Empty'!F30)*(1-23.6%),((('Revenue Build_Empty'!F17*$A57*C$54/1000000)*(1+'Revenue Build_Empty'!F19))-(('Revenue Build_Empty'!F17*$A57*C$54/1000000)*'Revenue Build_Empty'!F28)-'Revenue Build_Empty'!F27-'Revenue Build_Empty'!F30)))/(1+$F$4)^3+(IF(((('Revenue Build_Empty'!G17*$A57*C$54/1000000)*(1+'Revenue Build_Empty'!G19))-(('Revenue Build_Empty'!G17*$A57*C$54/1000000)*'Revenue Build_Empty'!G28)-'Revenue Build_Empty'!G27-'Revenue Build_Empty'!G30)&gt;0,((('Revenue Build_Empty'!G17*$A57*C$54/1000000)*(1+'Revenue Build_Empty'!G19))-(('Revenue Build_Empty'!G17*$A57*C$54/1000000)*'Revenue Build_Empty'!G28)-'Revenue Build_Empty'!G27-'Revenue Build_Empty'!G30)*(1-23.6%),((('Revenue Build_Empty'!G17*$A57*C$54/1000000)*(1+'Revenue Build_Empty'!G19))-(('Revenue Build_Empty'!G17*$A57*C$54/1000000)*'Revenue Build_Empty'!G28)-'Revenue Build_Empty'!G27-'Revenue Build_Empty'!G30)))/(1+$F$4)^4+(IF(((('Revenue Build_Empty'!H17*$A57*C$54/1000000)*(1+'Revenue Build_Empty'!H19))-(('Revenue Build_Empty'!H17*$A57*C$54/1000000)*'Revenue Build_Empty'!H28)-'Revenue Build_Empty'!H27-'Revenue Build_Empty'!H30)&gt;0,((('Revenue Build_Empty'!H17*$A57*C$54/1000000)*(1+'Revenue Build_Empty'!H19))-(('Revenue Build_Empty'!H17*$A57*C$54/1000000)*'Revenue Build_Empty'!H28)-'Revenue Build_Empty'!H27-'Revenue Build_Empty'!H30)*(1-23.6%),((('Revenue Build_Empty'!H17*$A57*C$54/1000000)*(1+'Revenue Build_Empty'!H19))-(('Revenue Build_Empty'!H17*$A57*C$54/1000000)*'Revenue Build_Empty'!H28)-'Revenue Build_Empty'!H27-'Revenue Build_Empty'!H30)))/(1+$F$4)^5+(IF(((('Revenue Build_Empty'!I17*$A57*C$54/1000000)*(1+'Revenue Build_Empty'!I19))-(('Revenue Build_Empty'!I17*$A57*C$54/1000000)*'Revenue Build_Empty'!I28)-'Revenue Build_Empty'!I27-'Revenue Build_Empty'!I30)&gt;0,((('Revenue Build_Empty'!I17*$A57*C$54/1000000)*(1+'Revenue Build_Empty'!I19))-(('Revenue Build_Empty'!I17*$A57*C$54/1000000)*'Revenue Build_Empty'!I28)-'Revenue Build_Empty'!I27-'Revenue Build_Empty'!I30)*(1-23.6%),((('Revenue Build_Empty'!I17*$A57*C$54/1000000)*(1+'Revenue Build_Empty'!I19))-(('Revenue Build_Empty'!I17*$A57*C$54/1000000)*'Revenue Build_Empty'!I28)-'Revenue Build_Empty'!I27-'Revenue Build_Empty'!I30)))/(1+$F$4)^6</f>
        <v>-26.497490613459529</v>
      </c>
      <c r="D57" s="3">
        <f>$B$17+(IF(((('Revenue Build_Empty'!D17*$A57*D$54/1000000)*(1+'Revenue Build_Empty'!D19))-(('Revenue Build_Empty'!D17*$A57*D$54/1000000)*'Revenue Build_Empty'!D28)-'Revenue Build_Empty'!D27-'Revenue Build_Empty'!D30)&gt;0,((('Revenue Build_Empty'!D17*$A57*D$54/1000000)*(1+'Revenue Build_Empty'!D19))-(('Revenue Build_Empty'!D17*$A57*D$54/1000000)*'Revenue Build_Empty'!D28)-'Revenue Build_Empty'!D27-'Revenue Build_Empty'!D30)*(1-23.6%),((('Revenue Build_Empty'!D17*$A57*D$54/1000000)*(1+'Revenue Build_Empty'!D19))-(('Revenue Build_Empty'!D17*$A57*D$54/1000000)*'Revenue Build_Empty'!D28)-'Revenue Build_Empty'!D27-'Revenue Build_Empty'!D30)))/(1+$F$4)^1+(IF(((('Revenue Build_Empty'!E17*$A57*D$54/1000000)*(1+'Revenue Build_Empty'!E19))-(('Revenue Build_Empty'!E17*$A57*D$54/1000000)*'Revenue Build_Empty'!E28)-'Revenue Build_Empty'!E27-'Revenue Build_Empty'!E30)&gt;0,((('Revenue Build_Empty'!E17*$A57*D$54/1000000)*(1+'Revenue Build_Empty'!E19))-(('Revenue Build_Empty'!E17*$A57*D$54/1000000)*'Revenue Build_Empty'!E28)-'Revenue Build_Empty'!E27-'Revenue Build_Empty'!E30)*(1-23.6%),((('Revenue Build_Empty'!E17*$A57*D$54/1000000)*(1+'Revenue Build_Empty'!E19))-(('Revenue Build_Empty'!E17*$A57*D$54/1000000)*'Revenue Build_Empty'!E28)-'Revenue Build_Empty'!E27-'Revenue Build_Empty'!E30)))/(1+$F$4)^2+(IF(((('Revenue Build_Empty'!F17*$A57*D$54/1000000)*(1+'Revenue Build_Empty'!F19))-(('Revenue Build_Empty'!F17*$A57*D$54/1000000)*'Revenue Build_Empty'!F28)-'Revenue Build_Empty'!F27-'Revenue Build_Empty'!F30)&gt;0,((('Revenue Build_Empty'!F17*$A57*D$54/1000000)*(1+'Revenue Build_Empty'!F19))-(('Revenue Build_Empty'!F17*$A57*D$54/1000000)*'Revenue Build_Empty'!F28)-'Revenue Build_Empty'!F27-'Revenue Build_Empty'!F30)*(1-23.6%),((('Revenue Build_Empty'!F17*$A57*D$54/1000000)*(1+'Revenue Build_Empty'!F19))-(('Revenue Build_Empty'!F17*$A57*D$54/1000000)*'Revenue Build_Empty'!F28)-'Revenue Build_Empty'!F27-'Revenue Build_Empty'!F30)))/(1+$F$4)^3+(IF(((('Revenue Build_Empty'!G17*$A57*D$54/1000000)*(1+'Revenue Build_Empty'!G19))-(('Revenue Build_Empty'!G17*$A57*D$54/1000000)*'Revenue Build_Empty'!G28)-'Revenue Build_Empty'!G27-'Revenue Build_Empty'!G30)&gt;0,((('Revenue Build_Empty'!G17*$A57*D$54/1000000)*(1+'Revenue Build_Empty'!G19))-(('Revenue Build_Empty'!G17*$A57*D$54/1000000)*'Revenue Build_Empty'!G28)-'Revenue Build_Empty'!G27-'Revenue Build_Empty'!G30)*(1-23.6%),((('Revenue Build_Empty'!G17*$A57*D$54/1000000)*(1+'Revenue Build_Empty'!G19))-(('Revenue Build_Empty'!G17*$A57*D$54/1000000)*'Revenue Build_Empty'!G28)-'Revenue Build_Empty'!G27-'Revenue Build_Empty'!G30)))/(1+$F$4)^4+(IF(((('Revenue Build_Empty'!H17*$A57*D$54/1000000)*(1+'Revenue Build_Empty'!H19))-(('Revenue Build_Empty'!H17*$A57*D$54/1000000)*'Revenue Build_Empty'!H28)-'Revenue Build_Empty'!H27-'Revenue Build_Empty'!H30)&gt;0,((('Revenue Build_Empty'!H17*$A57*D$54/1000000)*(1+'Revenue Build_Empty'!H19))-(('Revenue Build_Empty'!H17*$A57*D$54/1000000)*'Revenue Build_Empty'!H28)-'Revenue Build_Empty'!H27-'Revenue Build_Empty'!H30)*(1-23.6%),((('Revenue Build_Empty'!H17*$A57*D$54/1000000)*(1+'Revenue Build_Empty'!H19))-(('Revenue Build_Empty'!H17*$A57*D$54/1000000)*'Revenue Build_Empty'!H28)-'Revenue Build_Empty'!H27-'Revenue Build_Empty'!H30)))/(1+$F$4)^5+(IF(((('Revenue Build_Empty'!I17*$A57*D$54/1000000)*(1+'Revenue Build_Empty'!I19))-(('Revenue Build_Empty'!I17*$A57*D$54/1000000)*'Revenue Build_Empty'!I28)-'Revenue Build_Empty'!I27-'Revenue Build_Empty'!I30)&gt;0,((('Revenue Build_Empty'!I17*$A57*D$54/1000000)*(1+'Revenue Build_Empty'!I19))-(('Revenue Build_Empty'!I17*$A57*D$54/1000000)*'Revenue Build_Empty'!I28)-'Revenue Build_Empty'!I27-'Revenue Build_Empty'!I30)*(1-23.6%),((('Revenue Build_Empty'!I17*$A57*D$54/1000000)*(1+'Revenue Build_Empty'!I19))-(('Revenue Build_Empty'!I17*$A57*D$54/1000000)*'Revenue Build_Empty'!I28)-'Revenue Build_Empty'!I27-'Revenue Build_Empty'!I30)))/(1+$F$4)^6</f>
        <v>14.817892285482348</v>
      </c>
      <c r="E57" s="3">
        <f>$B$17+(IF(((('Revenue Build_Empty'!D17*$A57*E$54/1000000)*(1+'Revenue Build_Empty'!D19))-(('Revenue Build_Empty'!D17*$A57*E$54/1000000)*'Revenue Build_Empty'!D28)-'Revenue Build_Empty'!D27-'Revenue Build_Empty'!D30)&gt;0,((('Revenue Build_Empty'!D17*$A57*E$54/1000000)*(1+'Revenue Build_Empty'!D19))-(('Revenue Build_Empty'!D17*$A57*E$54/1000000)*'Revenue Build_Empty'!D28)-'Revenue Build_Empty'!D27-'Revenue Build_Empty'!D30)*(1-23.6%),((('Revenue Build_Empty'!D17*$A57*E$54/1000000)*(1+'Revenue Build_Empty'!D19))-(('Revenue Build_Empty'!D17*$A57*E$54/1000000)*'Revenue Build_Empty'!D28)-'Revenue Build_Empty'!D27-'Revenue Build_Empty'!D30)))/(1+$F$4)^1+(IF(((('Revenue Build_Empty'!E17*$A57*E$54/1000000)*(1+'Revenue Build_Empty'!E19))-(('Revenue Build_Empty'!E17*$A57*E$54/1000000)*'Revenue Build_Empty'!E28)-'Revenue Build_Empty'!E27-'Revenue Build_Empty'!E30)&gt;0,((('Revenue Build_Empty'!E17*$A57*E$54/1000000)*(1+'Revenue Build_Empty'!E19))-(('Revenue Build_Empty'!E17*$A57*E$54/1000000)*'Revenue Build_Empty'!E28)-'Revenue Build_Empty'!E27-'Revenue Build_Empty'!E30)*(1-23.6%),((('Revenue Build_Empty'!E17*$A57*E$54/1000000)*(1+'Revenue Build_Empty'!E19))-(('Revenue Build_Empty'!E17*$A57*E$54/1000000)*'Revenue Build_Empty'!E28)-'Revenue Build_Empty'!E27-'Revenue Build_Empty'!E30)))/(1+$F$4)^2+(IF(((('Revenue Build_Empty'!F17*$A57*E$54/1000000)*(1+'Revenue Build_Empty'!F19))-(('Revenue Build_Empty'!F17*$A57*E$54/1000000)*'Revenue Build_Empty'!F28)-'Revenue Build_Empty'!F27-'Revenue Build_Empty'!F30)&gt;0,((('Revenue Build_Empty'!F17*$A57*E$54/1000000)*(1+'Revenue Build_Empty'!F19))-(('Revenue Build_Empty'!F17*$A57*E$54/1000000)*'Revenue Build_Empty'!F28)-'Revenue Build_Empty'!F27-'Revenue Build_Empty'!F30)*(1-23.6%),((('Revenue Build_Empty'!F17*$A57*E$54/1000000)*(1+'Revenue Build_Empty'!F19))-(('Revenue Build_Empty'!F17*$A57*E$54/1000000)*'Revenue Build_Empty'!F28)-'Revenue Build_Empty'!F27-'Revenue Build_Empty'!F30)))/(1+$F$4)^3+(IF(((('Revenue Build_Empty'!G17*$A57*E$54/1000000)*(1+'Revenue Build_Empty'!G19))-(('Revenue Build_Empty'!G17*$A57*E$54/1000000)*'Revenue Build_Empty'!G28)-'Revenue Build_Empty'!G27-'Revenue Build_Empty'!G30)&gt;0,((('Revenue Build_Empty'!G17*$A57*E$54/1000000)*(1+'Revenue Build_Empty'!G19))-(('Revenue Build_Empty'!G17*$A57*E$54/1000000)*'Revenue Build_Empty'!G28)-'Revenue Build_Empty'!G27-'Revenue Build_Empty'!G30)*(1-23.6%),((('Revenue Build_Empty'!G17*$A57*E$54/1000000)*(1+'Revenue Build_Empty'!G19))-(('Revenue Build_Empty'!G17*$A57*E$54/1000000)*'Revenue Build_Empty'!G28)-'Revenue Build_Empty'!G27-'Revenue Build_Empty'!G30)))/(1+$F$4)^4+(IF(((('Revenue Build_Empty'!H17*$A57*E$54/1000000)*(1+'Revenue Build_Empty'!H19))-(('Revenue Build_Empty'!H17*$A57*E$54/1000000)*'Revenue Build_Empty'!H28)-'Revenue Build_Empty'!H27-'Revenue Build_Empty'!H30)&gt;0,((('Revenue Build_Empty'!H17*$A57*E$54/1000000)*(1+'Revenue Build_Empty'!H19))-(('Revenue Build_Empty'!H17*$A57*E$54/1000000)*'Revenue Build_Empty'!H28)-'Revenue Build_Empty'!H27-'Revenue Build_Empty'!H30)*(1-23.6%),((('Revenue Build_Empty'!H17*$A57*E$54/1000000)*(1+'Revenue Build_Empty'!H19))-(('Revenue Build_Empty'!H17*$A57*E$54/1000000)*'Revenue Build_Empty'!H28)-'Revenue Build_Empty'!H27-'Revenue Build_Empty'!H30)))/(1+$F$4)^5+(IF(((('Revenue Build_Empty'!I17*$A57*E$54/1000000)*(1+'Revenue Build_Empty'!I19))-(('Revenue Build_Empty'!I17*$A57*E$54/1000000)*'Revenue Build_Empty'!I28)-'Revenue Build_Empty'!I27-'Revenue Build_Empty'!I30)&gt;0,((('Revenue Build_Empty'!I17*$A57*E$54/1000000)*(1+'Revenue Build_Empty'!I19))-(('Revenue Build_Empty'!I17*$A57*E$54/1000000)*'Revenue Build_Empty'!I28)-'Revenue Build_Empty'!I27-'Revenue Build_Empty'!I30)*(1-23.6%),((('Revenue Build_Empty'!I17*$A57*E$54/1000000)*(1+'Revenue Build_Empty'!I19))-(('Revenue Build_Empty'!I17*$A57*E$54/1000000)*'Revenue Build_Empty'!I28)-'Revenue Build_Empty'!I27-'Revenue Build_Empty'!I30)))/(1+$F$4)^6</f>
        <v>54.958537802926102</v>
      </c>
      <c r="F57" s="3">
        <f>$B$17+(IF(((('Revenue Build_Empty'!D17*$A57*F$54/1000000)*(1+'Revenue Build_Empty'!D19))-(('Revenue Build_Empty'!D17*$A57*F$54/1000000)*'Revenue Build_Empty'!D28)-'Revenue Build_Empty'!D27-'Revenue Build_Empty'!D30)&gt;0,((('Revenue Build_Empty'!D17*$A57*F$54/1000000)*(1+'Revenue Build_Empty'!D19))-(('Revenue Build_Empty'!D17*$A57*F$54/1000000)*'Revenue Build_Empty'!D28)-'Revenue Build_Empty'!D27-'Revenue Build_Empty'!D30)*(1-23.6%),((('Revenue Build_Empty'!D17*$A57*F$54/1000000)*(1+'Revenue Build_Empty'!D19))-(('Revenue Build_Empty'!D17*$A57*F$54/1000000)*'Revenue Build_Empty'!D28)-'Revenue Build_Empty'!D27-'Revenue Build_Empty'!D30)))/(1+$F$4)^1+(IF(((('Revenue Build_Empty'!E17*$A57*F$54/1000000)*(1+'Revenue Build_Empty'!E19))-(('Revenue Build_Empty'!E17*$A57*F$54/1000000)*'Revenue Build_Empty'!E28)-'Revenue Build_Empty'!E27-'Revenue Build_Empty'!E30)&gt;0,((('Revenue Build_Empty'!E17*$A57*F$54/1000000)*(1+'Revenue Build_Empty'!E19))-(('Revenue Build_Empty'!E17*$A57*F$54/1000000)*'Revenue Build_Empty'!E28)-'Revenue Build_Empty'!E27-'Revenue Build_Empty'!E30)*(1-23.6%),((('Revenue Build_Empty'!E17*$A57*F$54/1000000)*(1+'Revenue Build_Empty'!E19))-(('Revenue Build_Empty'!E17*$A57*F$54/1000000)*'Revenue Build_Empty'!E28)-'Revenue Build_Empty'!E27-'Revenue Build_Empty'!E30)))/(1+$F$4)^2+(IF(((('Revenue Build_Empty'!F17*$A57*F$54/1000000)*(1+'Revenue Build_Empty'!F19))-(('Revenue Build_Empty'!F17*$A57*F$54/1000000)*'Revenue Build_Empty'!F28)-'Revenue Build_Empty'!F27-'Revenue Build_Empty'!F30)&gt;0,((('Revenue Build_Empty'!F17*$A57*F$54/1000000)*(1+'Revenue Build_Empty'!F19))-(('Revenue Build_Empty'!F17*$A57*F$54/1000000)*'Revenue Build_Empty'!F28)-'Revenue Build_Empty'!F27-'Revenue Build_Empty'!F30)*(1-23.6%),((('Revenue Build_Empty'!F17*$A57*F$54/1000000)*(1+'Revenue Build_Empty'!F19))-(('Revenue Build_Empty'!F17*$A57*F$54/1000000)*'Revenue Build_Empty'!F28)-'Revenue Build_Empty'!F27-'Revenue Build_Empty'!F30)))/(1+$F$4)^3+(IF(((('Revenue Build_Empty'!G17*$A57*F$54/1000000)*(1+'Revenue Build_Empty'!G19))-(('Revenue Build_Empty'!G17*$A57*F$54/1000000)*'Revenue Build_Empty'!G28)-'Revenue Build_Empty'!G27-'Revenue Build_Empty'!G30)&gt;0,((('Revenue Build_Empty'!G17*$A57*F$54/1000000)*(1+'Revenue Build_Empty'!G19))-(('Revenue Build_Empty'!G17*$A57*F$54/1000000)*'Revenue Build_Empty'!G28)-'Revenue Build_Empty'!G27-'Revenue Build_Empty'!G30)*(1-23.6%),((('Revenue Build_Empty'!G17*$A57*F$54/1000000)*(1+'Revenue Build_Empty'!G19))-(('Revenue Build_Empty'!G17*$A57*F$54/1000000)*'Revenue Build_Empty'!G28)-'Revenue Build_Empty'!G27-'Revenue Build_Empty'!G30)))/(1+$F$4)^4+(IF(((('Revenue Build_Empty'!H17*$A57*F$54/1000000)*(1+'Revenue Build_Empty'!H19))-(('Revenue Build_Empty'!H17*$A57*F$54/1000000)*'Revenue Build_Empty'!H28)-'Revenue Build_Empty'!H27-'Revenue Build_Empty'!H30)&gt;0,((('Revenue Build_Empty'!H17*$A57*F$54/1000000)*(1+'Revenue Build_Empty'!H19))-(('Revenue Build_Empty'!H17*$A57*F$54/1000000)*'Revenue Build_Empty'!H28)-'Revenue Build_Empty'!H27-'Revenue Build_Empty'!H30)*(1-23.6%),((('Revenue Build_Empty'!H17*$A57*F$54/1000000)*(1+'Revenue Build_Empty'!H19))-(('Revenue Build_Empty'!H17*$A57*F$54/1000000)*'Revenue Build_Empty'!H28)-'Revenue Build_Empty'!H27-'Revenue Build_Empty'!H30)))/(1+$F$4)^5+(IF(((('Revenue Build_Empty'!I17*$A57*F$54/1000000)*(1+'Revenue Build_Empty'!I19))-(('Revenue Build_Empty'!I17*$A57*F$54/1000000)*'Revenue Build_Empty'!I28)-'Revenue Build_Empty'!I27-'Revenue Build_Empty'!I30)&gt;0,((('Revenue Build_Empty'!I17*$A57*F$54/1000000)*(1+'Revenue Build_Empty'!I19))-(('Revenue Build_Empty'!I17*$A57*F$54/1000000)*'Revenue Build_Empty'!I28)-'Revenue Build_Empty'!I27-'Revenue Build_Empty'!I30)*(1-23.6%),((('Revenue Build_Empty'!I17*$A57*F$54/1000000)*(1+'Revenue Build_Empty'!I19))-(('Revenue Build_Empty'!I17*$A57*F$54/1000000)*'Revenue Build_Empty'!I28)-'Revenue Build_Empty'!I27-'Revenue Build_Empty'!I30)))/(1+$F$4)^6</f>
        <v>95.03347312714034</v>
      </c>
      <c r="G57" s="3"/>
      <c r="H57" s="3"/>
    </row>
    <row r="58" spans="1:8">
      <c r="A58" s="43">
        <v>1.1499999999999999</v>
      </c>
      <c r="B58" s="3">
        <f>$B$17+(IF(((('Revenue Build_Empty'!D17*$A58*B$54/1000000)*(1+'Revenue Build_Empty'!D19))-(('Revenue Build_Empty'!D17*$A58*B$54/1000000)*'Revenue Build_Empty'!D28)-'Revenue Build_Empty'!D27-'Revenue Build_Empty'!D30)&gt;0,((('Revenue Build_Empty'!D17*$A58*B$54/1000000)*(1+'Revenue Build_Empty'!D19))-(('Revenue Build_Empty'!D17*$A58*B$54/1000000)*'Revenue Build_Empty'!D28)-'Revenue Build_Empty'!D27-'Revenue Build_Empty'!D30)*(1-23.6%),((('Revenue Build_Empty'!D17*$A58*B$54/1000000)*(1+'Revenue Build_Empty'!D19))-(('Revenue Build_Empty'!D17*$A58*B$54/1000000)*'Revenue Build_Empty'!D28)-'Revenue Build_Empty'!D27-'Revenue Build_Empty'!D30)))/(1+$F$4)^1+(IF(((('Revenue Build_Empty'!E17*$A58*B$54/1000000)*(1+'Revenue Build_Empty'!E19))-(('Revenue Build_Empty'!E17*$A58*B$54/1000000)*'Revenue Build_Empty'!E28)-'Revenue Build_Empty'!E27-'Revenue Build_Empty'!E30)&gt;0,((('Revenue Build_Empty'!E17*$A58*B$54/1000000)*(1+'Revenue Build_Empty'!E19))-(('Revenue Build_Empty'!E17*$A58*B$54/1000000)*'Revenue Build_Empty'!E28)-'Revenue Build_Empty'!E27-'Revenue Build_Empty'!E30)*(1-23.6%),((('Revenue Build_Empty'!E17*$A58*B$54/1000000)*(1+'Revenue Build_Empty'!E19))-(('Revenue Build_Empty'!E17*$A58*B$54/1000000)*'Revenue Build_Empty'!E28)-'Revenue Build_Empty'!E27-'Revenue Build_Empty'!E30)))/(1+$F$4)^2+(IF(((('Revenue Build_Empty'!F17*$A58*B$54/1000000)*(1+'Revenue Build_Empty'!F19))-(('Revenue Build_Empty'!F17*$A58*B$54/1000000)*'Revenue Build_Empty'!F28)-'Revenue Build_Empty'!F27-'Revenue Build_Empty'!F30)&gt;0,((('Revenue Build_Empty'!F17*$A58*B$54/1000000)*(1+'Revenue Build_Empty'!F19))-(('Revenue Build_Empty'!F17*$A58*B$54/1000000)*'Revenue Build_Empty'!F28)-'Revenue Build_Empty'!F27-'Revenue Build_Empty'!F30)*(1-23.6%),((('Revenue Build_Empty'!F17*$A58*B$54/1000000)*(1+'Revenue Build_Empty'!F19))-(('Revenue Build_Empty'!F17*$A58*B$54/1000000)*'Revenue Build_Empty'!F28)-'Revenue Build_Empty'!F27-'Revenue Build_Empty'!F30)))/(1+$F$4)^3+(IF(((('Revenue Build_Empty'!G17*$A58*B$54/1000000)*(1+'Revenue Build_Empty'!G19))-(('Revenue Build_Empty'!G17*$A58*B$54/1000000)*'Revenue Build_Empty'!G28)-'Revenue Build_Empty'!G27-'Revenue Build_Empty'!G30)&gt;0,((('Revenue Build_Empty'!G17*$A58*B$54/1000000)*(1+'Revenue Build_Empty'!G19))-(('Revenue Build_Empty'!G17*$A58*B$54/1000000)*'Revenue Build_Empty'!G28)-'Revenue Build_Empty'!G27-'Revenue Build_Empty'!G30)*(1-23.6%),((('Revenue Build_Empty'!G17*$A58*B$54/1000000)*(1+'Revenue Build_Empty'!G19))-(('Revenue Build_Empty'!G17*$A58*B$54/1000000)*'Revenue Build_Empty'!G28)-'Revenue Build_Empty'!G27-'Revenue Build_Empty'!G30)))/(1+$F$4)^4+(IF(((('Revenue Build_Empty'!H17*$A58*B$54/1000000)*(1+'Revenue Build_Empty'!H19))-(('Revenue Build_Empty'!H17*$A58*B$54/1000000)*'Revenue Build_Empty'!H28)-'Revenue Build_Empty'!H27-'Revenue Build_Empty'!H30)&gt;0,((('Revenue Build_Empty'!H17*$A58*B$54/1000000)*(1+'Revenue Build_Empty'!H19))-(('Revenue Build_Empty'!H17*$A58*B$54/1000000)*'Revenue Build_Empty'!H28)-'Revenue Build_Empty'!H27-'Revenue Build_Empty'!H30)*(1-23.6%),((('Revenue Build_Empty'!H17*$A58*B$54/1000000)*(1+'Revenue Build_Empty'!H19))-(('Revenue Build_Empty'!H17*$A58*B$54/1000000)*'Revenue Build_Empty'!H28)-'Revenue Build_Empty'!H27-'Revenue Build_Empty'!H30)))/(1+$F$4)^5+(IF(((('Revenue Build_Empty'!I17*$A58*B$54/1000000)*(1+'Revenue Build_Empty'!I19))-(('Revenue Build_Empty'!I17*$A58*B$54/1000000)*'Revenue Build_Empty'!I28)-'Revenue Build_Empty'!I27-'Revenue Build_Empty'!I30)&gt;0,((('Revenue Build_Empty'!I17*$A58*B$54/1000000)*(1+'Revenue Build_Empty'!I19))-(('Revenue Build_Empty'!I17*$A58*B$54/1000000)*'Revenue Build_Empty'!I28)-'Revenue Build_Empty'!I27-'Revenue Build_Empty'!I30)*(1-23.6%),((('Revenue Build_Empty'!I17*$A58*B$54/1000000)*(1+'Revenue Build_Empty'!I19))-(('Revenue Build_Empty'!I17*$A58*B$54/1000000)*'Revenue Build_Empty'!I28)-'Revenue Build_Empty'!I27-'Revenue Build_Empty'!I30)))/(1+$F$4)^6</f>
        <v>-61.072672409478876</v>
      </c>
      <c r="C58" s="3">
        <f>$B$17+(IF(((('Revenue Build_Empty'!D17*$A58*C$54/1000000)*(1+'Revenue Build_Empty'!D19))-(('Revenue Build_Empty'!D17*$A58*C$54/1000000)*'Revenue Build_Empty'!D28)-'Revenue Build_Empty'!D27-'Revenue Build_Empty'!D30)&gt;0,((('Revenue Build_Empty'!D17*$A58*C$54/1000000)*(1+'Revenue Build_Empty'!D19))-(('Revenue Build_Empty'!D17*$A58*C$54/1000000)*'Revenue Build_Empty'!D28)-'Revenue Build_Empty'!D27-'Revenue Build_Empty'!D30)*(1-23.6%),((('Revenue Build_Empty'!D17*$A58*C$54/1000000)*(1+'Revenue Build_Empty'!D19))-(('Revenue Build_Empty'!D17*$A58*C$54/1000000)*'Revenue Build_Empty'!D28)-'Revenue Build_Empty'!D27-'Revenue Build_Empty'!D30)))/(1+$F$4)^1+(IF(((('Revenue Build_Empty'!E17*$A58*C$54/1000000)*(1+'Revenue Build_Empty'!E19))-(('Revenue Build_Empty'!E17*$A58*C$54/1000000)*'Revenue Build_Empty'!E28)-'Revenue Build_Empty'!E27-'Revenue Build_Empty'!E30)&gt;0,((('Revenue Build_Empty'!E17*$A58*C$54/1000000)*(1+'Revenue Build_Empty'!E19))-(('Revenue Build_Empty'!E17*$A58*C$54/1000000)*'Revenue Build_Empty'!E28)-'Revenue Build_Empty'!E27-'Revenue Build_Empty'!E30)*(1-23.6%),((('Revenue Build_Empty'!E17*$A58*C$54/1000000)*(1+'Revenue Build_Empty'!E19))-(('Revenue Build_Empty'!E17*$A58*C$54/1000000)*'Revenue Build_Empty'!E28)-'Revenue Build_Empty'!E27-'Revenue Build_Empty'!E30)))/(1+$F$4)^2+(IF(((('Revenue Build_Empty'!F17*$A58*C$54/1000000)*(1+'Revenue Build_Empty'!F19))-(('Revenue Build_Empty'!F17*$A58*C$54/1000000)*'Revenue Build_Empty'!F28)-'Revenue Build_Empty'!F27-'Revenue Build_Empty'!F30)&gt;0,((('Revenue Build_Empty'!F17*$A58*C$54/1000000)*(1+'Revenue Build_Empty'!F19))-(('Revenue Build_Empty'!F17*$A58*C$54/1000000)*'Revenue Build_Empty'!F28)-'Revenue Build_Empty'!F27-'Revenue Build_Empty'!F30)*(1-23.6%),((('Revenue Build_Empty'!F17*$A58*C$54/1000000)*(1+'Revenue Build_Empty'!F19))-(('Revenue Build_Empty'!F17*$A58*C$54/1000000)*'Revenue Build_Empty'!F28)-'Revenue Build_Empty'!F27-'Revenue Build_Empty'!F30)))/(1+$F$4)^3+(IF(((('Revenue Build_Empty'!G17*$A58*C$54/1000000)*(1+'Revenue Build_Empty'!G19))-(('Revenue Build_Empty'!G17*$A58*C$54/1000000)*'Revenue Build_Empty'!G28)-'Revenue Build_Empty'!G27-'Revenue Build_Empty'!G30)&gt;0,((('Revenue Build_Empty'!G17*$A58*C$54/1000000)*(1+'Revenue Build_Empty'!G19))-(('Revenue Build_Empty'!G17*$A58*C$54/1000000)*'Revenue Build_Empty'!G28)-'Revenue Build_Empty'!G27-'Revenue Build_Empty'!G30)*(1-23.6%),((('Revenue Build_Empty'!G17*$A58*C$54/1000000)*(1+'Revenue Build_Empty'!G19))-(('Revenue Build_Empty'!G17*$A58*C$54/1000000)*'Revenue Build_Empty'!G28)-'Revenue Build_Empty'!G27-'Revenue Build_Empty'!G30)))/(1+$F$4)^4+(IF(((('Revenue Build_Empty'!H17*$A58*C$54/1000000)*(1+'Revenue Build_Empty'!H19))-(('Revenue Build_Empty'!H17*$A58*C$54/1000000)*'Revenue Build_Empty'!H28)-'Revenue Build_Empty'!H27-'Revenue Build_Empty'!H30)&gt;0,((('Revenue Build_Empty'!H17*$A58*C$54/1000000)*(1+'Revenue Build_Empty'!H19))-(('Revenue Build_Empty'!H17*$A58*C$54/1000000)*'Revenue Build_Empty'!H28)-'Revenue Build_Empty'!H27-'Revenue Build_Empty'!H30)*(1-23.6%),((('Revenue Build_Empty'!H17*$A58*C$54/1000000)*(1+'Revenue Build_Empty'!H19))-(('Revenue Build_Empty'!H17*$A58*C$54/1000000)*'Revenue Build_Empty'!H28)-'Revenue Build_Empty'!H27-'Revenue Build_Empty'!H30)))/(1+$F$4)^5+(IF(((('Revenue Build_Empty'!I17*$A58*C$54/1000000)*(1+'Revenue Build_Empty'!I19))-(('Revenue Build_Empty'!I17*$A58*C$54/1000000)*'Revenue Build_Empty'!I28)-'Revenue Build_Empty'!I27-'Revenue Build_Empty'!I30)&gt;0,((('Revenue Build_Empty'!I17*$A58*C$54/1000000)*(1+'Revenue Build_Empty'!I19))-(('Revenue Build_Empty'!I17*$A58*C$54/1000000)*'Revenue Build_Empty'!I28)-'Revenue Build_Empty'!I27-'Revenue Build_Empty'!I30)*(1-23.6%),((('Revenue Build_Empty'!I17*$A58*C$54/1000000)*(1+'Revenue Build_Empty'!I19))-(('Revenue Build_Empty'!I17*$A58*C$54/1000000)*'Revenue Build_Empty'!I28)-'Revenue Build_Empty'!I27-'Revenue Build_Empty'!I30)))/(1+$F$4)^6</f>
        <v>-11.906267211677502</v>
      </c>
      <c r="D58" s="3">
        <f>$B$17+(IF(((('Revenue Build_Empty'!D17*$A58*D$54/1000000)*(1+'Revenue Build_Empty'!D19))-(('Revenue Build_Empty'!D17*$A58*D$54/1000000)*'Revenue Build_Empty'!D28)-'Revenue Build_Empty'!D27-'Revenue Build_Empty'!D30)&gt;0,((('Revenue Build_Empty'!D17*$A58*D$54/1000000)*(1+'Revenue Build_Empty'!D19))-(('Revenue Build_Empty'!D17*$A58*D$54/1000000)*'Revenue Build_Empty'!D28)-'Revenue Build_Empty'!D27-'Revenue Build_Empty'!D30)*(1-23.6%),((('Revenue Build_Empty'!D17*$A58*D$54/1000000)*(1+'Revenue Build_Empty'!D19))-(('Revenue Build_Empty'!D17*$A58*D$54/1000000)*'Revenue Build_Empty'!D28)-'Revenue Build_Empty'!D27-'Revenue Build_Empty'!D30)))/(1+$F$4)^1+(IF(((('Revenue Build_Empty'!E17*$A58*D$54/1000000)*(1+'Revenue Build_Empty'!E19))-(('Revenue Build_Empty'!E17*$A58*D$54/1000000)*'Revenue Build_Empty'!E28)-'Revenue Build_Empty'!E27-'Revenue Build_Empty'!E30)&gt;0,((('Revenue Build_Empty'!E17*$A58*D$54/1000000)*(1+'Revenue Build_Empty'!E19))-(('Revenue Build_Empty'!E17*$A58*D$54/1000000)*'Revenue Build_Empty'!E28)-'Revenue Build_Empty'!E27-'Revenue Build_Empty'!E30)*(1-23.6%),((('Revenue Build_Empty'!E17*$A58*D$54/1000000)*(1+'Revenue Build_Empty'!E19))-(('Revenue Build_Empty'!E17*$A58*D$54/1000000)*'Revenue Build_Empty'!E28)-'Revenue Build_Empty'!E27-'Revenue Build_Empty'!E30)))/(1+$F$4)^2+(IF(((('Revenue Build_Empty'!F17*$A58*D$54/1000000)*(1+'Revenue Build_Empty'!F19))-(('Revenue Build_Empty'!F17*$A58*D$54/1000000)*'Revenue Build_Empty'!F28)-'Revenue Build_Empty'!F27-'Revenue Build_Empty'!F30)&gt;0,((('Revenue Build_Empty'!F17*$A58*D$54/1000000)*(1+'Revenue Build_Empty'!F19))-(('Revenue Build_Empty'!F17*$A58*D$54/1000000)*'Revenue Build_Empty'!F28)-'Revenue Build_Empty'!F27-'Revenue Build_Empty'!F30)*(1-23.6%),((('Revenue Build_Empty'!F17*$A58*D$54/1000000)*(1+'Revenue Build_Empty'!F19))-(('Revenue Build_Empty'!F17*$A58*D$54/1000000)*'Revenue Build_Empty'!F28)-'Revenue Build_Empty'!F27-'Revenue Build_Empty'!F30)))/(1+$F$4)^3+(IF(((('Revenue Build_Empty'!G17*$A58*D$54/1000000)*(1+'Revenue Build_Empty'!G19))-(('Revenue Build_Empty'!G17*$A58*D$54/1000000)*'Revenue Build_Empty'!G28)-'Revenue Build_Empty'!G27-'Revenue Build_Empty'!G30)&gt;0,((('Revenue Build_Empty'!G17*$A58*D$54/1000000)*(1+'Revenue Build_Empty'!G19))-(('Revenue Build_Empty'!G17*$A58*D$54/1000000)*'Revenue Build_Empty'!G28)-'Revenue Build_Empty'!G27-'Revenue Build_Empty'!G30)*(1-23.6%),((('Revenue Build_Empty'!G17*$A58*D$54/1000000)*(1+'Revenue Build_Empty'!G19))-(('Revenue Build_Empty'!G17*$A58*D$54/1000000)*'Revenue Build_Empty'!G28)-'Revenue Build_Empty'!G27-'Revenue Build_Empty'!G30)))/(1+$F$4)^4+(IF(((('Revenue Build_Empty'!H17*$A58*D$54/1000000)*(1+'Revenue Build_Empty'!H19))-(('Revenue Build_Empty'!H17*$A58*D$54/1000000)*'Revenue Build_Empty'!H28)-'Revenue Build_Empty'!H27-'Revenue Build_Empty'!H30)&gt;0,((('Revenue Build_Empty'!H17*$A58*D$54/1000000)*(1+'Revenue Build_Empty'!H19))-(('Revenue Build_Empty'!H17*$A58*D$54/1000000)*'Revenue Build_Empty'!H28)-'Revenue Build_Empty'!H27-'Revenue Build_Empty'!H30)*(1-23.6%),((('Revenue Build_Empty'!H17*$A58*D$54/1000000)*(1+'Revenue Build_Empty'!H19))-(('Revenue Build_Empty'!H17*$A58*D$54/1000000)*'Revenue Build_Empty'!H28)-'Revenue Build_Empty'!H27-'Revenue Build_Empty'!H30)))/(1+$F$4)^5+(IF(((('Revenue Build_Empty'!I17*$A58*D$54/1000000)*(1+'Revenue Build_Empty'!I19))-(('Revenue Build_Empty'!I17*$A58*D$54/1000000)*'Revenue Build_Empty'!I28)-'Revenue Build_Empty'!I27-'Revenue Build_Empty'!I30)&gt;0,((('Revenue Build_Empty'!I17*$A58*D$54/1000000)*(1+'Revenue Build_Empty'!I19))-(('Revenue Build_Empty'!I17*$A58*D$54/1000000)*'Revenue Build_Empty'!I28)-'Revenue Build_Empty'!I27-'Revenue Build_Empty'!I30)*(1-23.6%),((('Revenue Build_Empty'!I17*$A58*D$54/1000000)*(1+'Revenue Build_Empty'!I19))-(('Revenue Build_Empty'!I17*$A58*D$54/1000000)*'Revenue Build_Empty'!I28)-'Revenue Build_Empty'!I27-'Revenue Build_Empty'!I30)))/(1+$F$4)^6</f>
        <v>34.888215044204209</v>
      </c>
      <c r="E58" s="3">
        <f>$B$17+(IF(((('Revenue Build_Empty'!D17*$A58*E$54/1000000)*(1+'Revenue Build_Empty'!D19))-(('Revenue Build_Empty'!D17*$A58*E$54/1000000)*'Revenue Build_Empty'!D28)-'Revenue Build_Empty'!D27-'Revenue Build_Empty'!D30)&gt;0,((('Revenue Build_Empty'!D17*$A58*E$54/1000000)*(1+'Revenue Build_Empty'!D19))-(('Revenue Build_Empty'!D17*$A58*E$54/1000000)*'Revenue Build_Empty'!D28)-'Revenue Build_Empty'!D27-'Revenue Build_Empty'!D30)*(1-23.6%),((('Revenue Build_Empty'!D17*$A58*E$54/1000000)*(1+'Revenue Build_Empty'!D19))-(('Revenue Build_Empty'!D17*$A58*E$54/1000000)*'Revenue Build_Empty'!D28)-'Revenue Build_Empty'!D27-'Revenue Build_Empty'!D30)))/(1+$F$4)^1+(IF(((('Revenue Build_Empty'!E17*$A58*E$54/1000000)*(1+'Revenue Build_Empty'!E19))-(('Revenue Build_Empty'!E17*$A58*E$54/1000000)*'Revenue Build_Empty'!E28)-'Revenue Build_Empty'!E27-'Revenue Build_Empty'!E30)&gt;0,((('Revenue Build_Empty'!E17*$A58*E$54/1000000)*(1+'Revenue Build_Empty'!E19))-(('Revenue Build_Empty'!E17*$A58*E$54/1000000)*'Revenue Build_Empty'!E28)-'Revenue Build_Empty'!E27-'Revenue Build_Empty'!E30)*(1-23.6%),((('Revenue Build_Empty'!E17*$A58*E$54/1000000)*(1+'Revenue Build_Empty'!E19))-(('Revenue Build_Empty'!E17*$A58*E$54/1000000)*'Revenue Build_Empty'!E28)-'Revenue Build_Empty'!E27-'Revenue Build_Empty'!E30)))/(1+$F$4)^2+(IF(((('Revenue Build_Empty'!F17*$A58*E$54/1000000)*(1+'Revenue Build_Empty'!F19))-(('Revenue Build_Empty'!F17*$A58*E$54/1000000)*'Revenue Build_Empty'!F28)-'Revenue Build_Empty'!F27-'Revenue Build_Empty'!F30)&gt;0,((('Revenue Build_Empty'!F17*$A58*E$54/1000000)*(1+'Revenue Build_Empty'!F19))-(('Revenue Build_Empty'!F17*$A58*E$54/1000000)*'Revenue Build_Empty'!F28)-'Revenue Build_Empty'!F27-'Revenue Build_Empty'!F30)*(1-23.6%),((('Revenue Build_Empty'!F17*$A58*E$54/1000000)*(1+'Revenue Build_Empty'!F19))-(('Revenue Build_Empty'!F17*$A58*E$54/1000000)*'Revenue Build_Empty'!F28)-'Revenue Build_Empty'!F27-'Revenue Build_Empty'!F30)))/(1+$F$4)^3+(IF(((('Revenue Build_Empty'!G17*$A58*E$54/1000000)*(1+'Revenue Build_Empty'!G19))-(('Revenue Build_Empty'!G17*$A58*E$54/1000000)*'Revenue Build_Empty'!G28)-'Revenue Build_Empty'!G27-'Revenue Build_Empty'!G30)&gt;0,((('Revenue Build_Empty'!G17*$A58*E$54/1000000)*(1+'Revenue Build_Empty'!G19))-(('Revenue Build_Empty'!G17*$A58*E$54/1000000)*'Revenue Build_Empty'!G28)-'Revenue Build_Empty'!G27-'Revenue Build_Empty'!G30)*(1-23.6%),((('Revenue Build_Empty'!G17*$A58*E$54/1000000)*(1+'Revenue Build_Empty'!G19))-(('Revenue Build_Empty'!G17*$A58*E$54/1000000)*'Revenue Build_Empty'!G28)-'Revenue Build_Empty'!G27-'Revenue Build_Empty'!G30)))/(1+$F$4)^4+(IF(((('Revenue Build_Empty'!H17*$A58*E$54/1000000)*(1+'Revenue Build_Empty'!H19))-(('Revenue Build_Empty'!H17*$A58*E$54/1000000)*'Revenue Build_Empty'!H28)-'Revenue Build_Empty'!H27-'Revenue Build_Empty'!H30)&gt;0,((('Revenue Build_Empty'!H17*$A58*E$54/1000000)*(1+'Revenue Build_Empty'!H19))-(('Revenue Build_Empty'!H17*$A58*E$54/1000000)*'Revenue Build_Empty'!H28)-'Revenue Build_Empty'!H27-'Revenue Build_Empty'!H30)*(1-23.6%),((('Revenue Build_Empty'!H17*$A58*E$54/1000000)*(1+'Revenue Build_Empty'!H19))-(('Revenue Build_Empty'!H17*$A58*E$54/1000000)*'Revenue Build_Empty'!H28)-'Revenue Build_Empty'!H27-'Revenue Build_Empty'!H30)))/(1+$F$4)^5+(IF(((('Revenue Build_Empty'!I17*$A58*E$54/1000000)*(1+'Revenue Build_Empty'!I19))-(('Revenue Build_Empty'!I17*$A58*E$54/1000000)*'Revenue Build_Empty'!I28)-'Revenue Build_Empty'!I27-'Revenue Build_Empty'!I30)&gt;0,((('Revenue Build_Empty'!I17*$A58*E$54/1000000)*(1+'Revenue Build_Empty'!I19))-(('Revenue Build_Empty'!I17*$A58*E$54/1000000)*'Revenue Build_Empty'!I28)-'Revenue Build_Empty'!I27-'Revenue Build_Empty'!I30)*(1-23.6%),((('Revenue Build_Empty'!I17*$A58*E$54/1000000)*(1+'Revenue Build_Empty'!I19))-(('Revenue Build_Empty'!I17*$A58*E$54/1000000)*'Revenue Build_Empty'!I28)-'Revenue Build_Empty'!I27-'Revenue Build_Empty'!I30)))/(1+$F$4)^6</f>
        <v>81.049957389264534</v>
      </c>
      <c r="F58" s="3">
        <f>$B$17+(IF(((('Revenue Build_Empty'!D17*$A58*F$54/1000000)*(1+'Revenue Build_Empty'!D19))-(('Revenue Build_Empty'!D17*$A58*F$54/1000000)*'Revenue Build_Empty'!D28)-'Revenue Build_Empty'!D27-'Revenue Build_Empty'!D30)&gt;0,((('Revenue Build_Empty'!D17*$A58*F$54/1000000)*(1+'Revenue Build_Empty'!D19))-(('Revenue Build_Empty'!D17*$A58*F$54/1000000)*'Revenue Build_Empty'!D28)-'Revenue Build_Empty'!D27-'Revenue Build_Empty'!D30)*(1-23.6%),((('Revenue Build_Empty'!D17*$A58*F$54/1000000)*(1+'Revenue Build_Empty'!D19))-(('Revenue Build_Empty'!D17*$A58*F$54/1000000)*'Revenue Build_Empty'!D28)-'Revenue Build_Empty'!D27-'Revenue Build_Empty'!D30)))/(1+$F$4)^1+(IF(((('Revenue Build_Empty'!E17*$A58*F$54/1000000)*(1+'Revenue Build_Empty'!E19))-(('Revenue Build_Empty'!E17*$A58*F$54/1000000)*'Revenue Build_Empty'!E28)-'Revenue Build_Empty'!E27-'Revenue Build_Empty'!E30)&gt;0,((('Revenue Build_Empty'!E17*$A58*F$54/1000000)*(1+'Revenue Build_Empty'!E19))-(('Revenue Build_Empty'!E17*$A58*F$54/1000000)*'Revenue Build_Empty'!E28)-'Revenue Build_Empty'!E27-'Revenue Build_Empty'!E30)*(1-23.6%),((('Revenue Build_Empty'!E17*$A58*F$54/1000000)*(1+'Revenue Build_Empty'!E19))-(('Revenue Build_Empty'!E17*$A58*F$54/1000000)*'Revenue Build_Empty'!E28)-'Revenue Build_Empty'!E27-'Revenue Build_Empty'!E30)))/(1+$F$4)^2+(IF(((('Revenue Build_Empty'!F17*$A58*F$54/1000000)*(1+'Revenue Build_Empty'!F19))-(('Revenue Build_Empty'!F17*$A58*F$54/1000000)*'Revenue Build_Empty'!F28)-'Revenue Build_Empty'!F27-'Revenue Build_Empty'!F30)&gt;0,((('Revenue Build_Empty'!F17*$A58*F$54/1000000)*(1+'Revenue Build_Empty'!F19))-(('Revenue Build_Empty'!F17*$A58*F$54/1000000)*'Revenue Build_Empty'!F28)-'Revenue Build_Empty'!F27-'Revenue Build_Empty'!F30)*(1-23.6%),((('Revenue Build_Empty'!F17*$A58*F$54/1000000)*(1+'Revenue Build_Empty'!F19))-(('Revenue Build_Empty'!F17*$A58*F$54/1000000)*'Revenue Build_Empty'!F28)-'Revenue Build_Empty'!F27-'Revenue Build_Empty'!F30)))/(1+$F$4)^3+(IF(((('Revenue Build_Empty'!G17*$A58*F$54/1000000)*(1+'Revenue Build_Empty'!G19))-(('Revenue Build_Empty'!G17*$A58*F$54/1000000)*'Revenue Build_Empty'!G28)-'Revenue Build_Empty'!G27-'Revenue Build_Empty'!G30)&gt;0,((('Revenue Build_Empty'!G17*$A58*F$54/1000000)*(1+'Revenue Build_Empty'!G19))-(('Revenue Build_Empty'!G17*$A58*F$54/1000000)*'Revenue Build_Empty'!G28)-'Revenue Build_Empty'!G27-'Revenue Build_Empty'!G30)*(1-23.6%),((('Revenue Build_Empty'!G17*$A58*F$54/1000000)*(1+'Revenue Build_Empty'!G19))-(('Revenue Build_Empty'!G17*$A58*F$54/1000000)*'Revenue Build_Empty'!G28)-'Revenue Build_Empty'!G27-'Revenue Build_Empty'!G30)))/(1+$F$4)^4+(IF(((('Revenue Build_Empty'!H17*$A58*F$54/1000000)*(1+'Revenue Build_Empty'!H19))-(('Revenue Build_Empty'!H17*$A58*F$54/1000000)*'Revenue Build_Empty'!H28)-'Revenue Build_Empty'!H27-'Revenue Build_Empty'!H30)&gt;0,((('Revenue Build_Empty'!H17*$A58*F$54/1000000)*(1+'Revenue Build_Empty'!H19))-(('Revenue Build_Empty'!H17*$A58*F$54/1000000)*'Revenue Build_Empty'!H28)-'Revenue Build_Empty'!H27-'Revenue Build_Empty'!H30)*(1-23.6%),((('Revenue Build_Empty'!H17*$A58*F$54/1000000)*(1+'Revenue Build_Empty'!H19))-(('Revenue Build_Empty'!H17*$A58*F$54/1000000)*'Revenue Build_Empty'!H28)-'Revenue Build_Empty'!H27-'Revenue Build_Empty'!H30)))/(1+$F$4)^5+(IF(((('Revenue Build_Empty'!I17*$A58*F$54/1000000)*(1+'Revenue Build_Empty'!I19))-(('Revenue Build_Empty'!I17*$A58*F$54/1000000)*'Revenue Build_Empty'!I28)-'Revenue Build_Empty'!I27-'Revenue Build_Empty'!I30)&gt;0,((('Revenue Build_Empty'!I17*$A58*F$54/1000000)*(1+'Revenue Build_Empty'!I19))-(('Revenue Build_Empty'!I17*$A58*F$54/1000000)*'Revenue Build_Empty'!I28)-'Revenue Build_Empty'!I27-'Revenue Build_Empty'!I30)*(1-23.6%),((('Revenue Build_Empty'!I17*$A58*F$54/1000000)*(1+'Revenue Build_Empty'!I19))-(('Revenue Build_Empty'!I17*$A58*F$54/1000000)*'Revenue Build_Empty'!I28)-'Revenue Build_Empty'!I27-'Revenue Build_Empty'!I30)))/(1+$F$4)^6</f>
        <v>126.40278794700103</v>
      </c>
      <c r="G58" s="3"/>
      <c r="H58" s="3"/>
    </row>
    <row r="59" spans="1:8">
      <c r="A59" s="43">
        <v>1.3</v>
      </c>
      <c r="B59" s="3">
        <f>$B$17+(IF(((('Revenue Build_Empty'!D17*$A59*B$54/1000000)*(1+'Revenue Build_Empty'!D19))-(('Revenue Build_Empty'!D17*$A59*B$54/1000000)*'Revenue Build_Empty'!D28)-'Revenue Build_Empty'!D27-'Revenue Build_Empty'!D30)&gt;0,((('Revenue Build_Empty'!D17*$A59*B$54/1000000)*(1+'Revenue Build_Empty'!D19))-(('Revenue Build_Empty'!D17*$A59*B$54/1000000)*'Revenue Build_Empty'!D28)-'Revenue Build_Empty'!D27-'Revenue Build_Empty'!D30)*(1-23.6%),((('Revenue Build_Empty'!D17*$A59*B$54/1000000)*(1+'Revenue Build_Empty'!D19))-(('Revenue Build_Empty'!D17*$A59*B$54/1000000)*'Revenue Build_Empty'!D28)-'Revenue Build_Empty'!D27-'Revenue Build_Empty'!D30)))/(1+$F$4)^1+(IF(((('Revenue Build_Empty'!E17*$A59*B$54/1000000)*(1+'Revenue Build_Empty'!E19))-(('Revenue Build_Empty'!E17*$A59*B$54/1000000)*'Revenue Build_Empty'!E28)-'Revenue Build_Empty'!E27-'Revenue Build_Empty'!E30)&gt;0,((('Revenue Build_Empty'!E17*$A59*B$54/1000000)*(1+'Revenue Build_Empty'!E19))-(('Revenue Build_Empty'!E17*$A59*B$54/1000000)*'Revenue Build_Empty'!E28)-'Revenue Build_Empty'!E27-'Revenue Build_Empty'!E30)*(1-23.6%),((('Revenue Build_Empty'!E17*$A59*B$54/1000000)*(1+'Revenue Build_Empty'!E19))-(('Revenue Build_Empty'!E17*$A59*B$54/1000000)*'Revenue Build_Empty'!E28)-'Revenue Build_Empty'!E27-'Revenue Build_Empty'!E30)))/(1+$F$4)^2+(IF(((('Revenue Build_Empty'!F17*$A59*B$54/1000000)*(1+'Revenue Build_Empty'!F19))-(('Revenue Build_Empty'!F17*$A59*B$54/1000000)*'Revenue Build_Empty'!F28)-'Revenue Build_Empty'!F27-'Revenue Build_Empty'!F30)&gt;0,((('Revenue Build_Empty'!F17*$A59*B$54/1000000)*(1+'Revenue Build_Empty'!F19))-(('Revenue Build_Empty'!F17*$A59*B$54/1000000)*'Revenue Build_Empty'!F28)-'Revenue Build_Empty'!F27-'Revenue Build_Empty'!F30)*(1-23.6%),((('Revenue Build_Empty'!F17*$A59*B$54/1000000)*(1+'Revenue Build_Empty'!F19))-(('Revenue Build_Empty'!F17*$A59*B$54/1000000)*'Revenue Build_Empty'!F28)-'Revenue Build_Empty'!F27-'Revenue Build_Empty'!F30)))/(1+$F$4)^3+(IF(((('Revenue Build_Empty'!G17*$A59*B$54/1000000)*(1+'Revenue Build_Empty'!G19))-(('Revenue Build_Empty'!G17*$A59*B$54/1000000)*'Revenue Build_Empty'!G28)-'Revenue Build_Empty'!G27-'Revenue Build_Empty'!G30)&gt;0,((('Revenue Build_Empty'!G17*$A59*B$54/1000000)*(1+'Revenue Build_Empty'!G19))-(('Revenue Build_Empty'!G17*$A59*B$54/1000000)*'Revenue Build_Empty'!G28)-'Revenue Build_Empty'!G27-'Revenue Build_Empty'!G30)*(1-23.6%),((('Revenue Build_Empty'!G17*$A59*B$54/1000000)*(1+'Revenue Build_Empty'!G19))-(('Revenue Build_Empty'!G17*$A59*B$54/1000000)*'Revenue Build_Empty'!G28)-'Revenue Build_Empty'!G27-'Revenue Build_Empty'!G30)))/(1+$F$4)^4+(IF(((('Revenue Build_Empty'!H17*$A59*B$54/1000000)*(1+'Revenue Build_Empty'!H19))-(('Revenue Build_Empty'!H17*$A59*B$54/1000000)*'Revenue Build_Empty'!H28)-'Revenue Build_Empty'!H27-'Revenue Build_Empty'!H30)&gt;0,((('Revenue Build_Empty'!H17*$A59*B$54/1000000)*(1+'Revenue Build_Empty'!H19))-(('Revenue Build_Empty'!H17*$A59*B$54/1000000)*'Revenue Build_Empty'!H28)-'Revenue Build_Empty'!H27-'Revenue Build_Empty'!H30)*(1-23.6%),((('Revenue Build_Empty'!H17*$A59*B$54/1000000)*(1+'Revenue Build_Empty'!H19))-(('Revenue Build_Empty'!H17*$A59*B$54/1000000)*'Revenue Build_Empty'!H28)-'Revenue Build_Empty'!H27-'Revenue Build_Empty'!H30)))/(1+$F$4)^5+(IF(((('Revenue Build_Empty'!I17*$A59*B$54/1000000)*(1+'Revenue Build_Empty'!I19))-(('Revenue Build_Empty'!I17*$A59*B$54/1000000)*'Revenue Build_Empty'!I28)-'Revenue Build_Empty'!I27-'Revenue Build_Empty'!I30)&gt;0,((('Revenue Build_Empty'!I17*$A59*B$54/1000000)*(1+'Revenue Build_Empty'!I19))-(('Revenue Build_Empty'!I17*$A59*B$54/1000000)*'Revenue Build_Empty'!I28)-'Revenue Build_Empty'!I27-'Revenue Build_Empty'!I30)*(1-23.6%),((('Revenue Build_Empty'!I17*$A59*B$54/1000000)*(1+'Revenue Build_Empty'!I19))-(('Revenue Build_Empty'!I17*$A59*B$54/1000000)*'Revenue Build_Empty'!I28)-'Revenue Build_Empty'!I27-'Revenue Build_Empty'!I30)))/(1+$F$4)^6</f>
        <v>-52.284999458441995</v>
      </c>
      <c r="C59" s="3">
        <f>$B$17+(IF(((('Revenue Build_Empty'!D17*$A59*C$54/1000000)*(1+'Revenue Build_Empty'!D19))-(('Revenue Build_Empty'!D17*$A59*C$54/1000000)*'Revenue Build_Empty'!D28)-'Revenue Build_Empty'!D27-'Revenue Build_Empty'!D30)&gt;0,((('Revenue Build_Empty'!D17*$A59*C$54/1000000)*(1+'Revenue Build_Empty'!D19))-(('Revenue Build_Empty'!D17*$A59*C$54/1000000)*'Revenue Build_Empty'!D28)-'Revenue Build_Empty'!D27-'Revenue Build_Empty'!D30)*(1-23.6%),((('Revenue Build_Empty'!D17*$A59*C$54/1000000)*(1+'Revenue Build_Empty'!D19))-(('Revenue Build_Empty'!D17*$A59*C$54/1000000)*'Revenue Build_Empty'!D28)-'Revenue Build_Empty'!D27-'Revenue Build_Empty'!D30)))/(1+$F$4)^1+(IF(((('Revenue Build_Empty'!E17*$A59*C$54/1000000)*(1+'Revenue Build_Empty'!E19))-(('Revenue Build_Empty'!E17*$A59*C$54/1000000)*'Revenue Build_Empty'!E28)-'Revenue Build_Empty'!E27-'Revenue Build_Empty'!E30)&gt;0,((('Revenue Build_Empty'!E17*$A59*C$54/1000000)*(1+'Revenue Build_Empty'!E19))-(('Revenue Build_Empty'!E17*$A59*C$54/1000000)*'Revenue Build_Empty'!E28)-'Revenue Build_Empty'!E27-'Revenue Build_Empty'!E30)*(1-23.6%),((('Revenue Build_Empty'!E17*$A59*C$54/1000000)*(1+'Revenue Build_Empty'!E19))-(('Revenue Build_Empty'!E17*$A59*C$54/1000000)*'Revenue Build_Empty'!E28)-'Revenue Build_Empty'!E27-'Revenue Build_Empty'!E30)))/(1+$F$4)^2+(IF(((('Revenue Build_Empty'!F17*$A59*C$54/1000000)*(1+'Revenue Build_Empty'!F19))-(('Revenue Build_Empty'!F17*$A59*C$54/1000000)*'Revenue Build_Empty'!F28)-'Revenue Build_Empty'!F27-'Revenue Build_Empty'!F30)&gt;0,((('Revenue Build_Empty'!F17*$A59*C$54/1000000)*(1+'Revenue Build_Empty'!F19))-(('Revenue Build_Empty'!F17*$A59*C$54/1000000)*'Revenue Build_Empty'!F28)-'Revenue Build_Empty'!F27-'Revenue Build_Empty'!F30)*(1-23.6%),((('Revenue Build_Empty'!F17*$A59*C$54/1000000)*(1+'Revenue Build_Empty'!F19))-(('Revenue Build_Empty'!F17*$A59*C$54/1000000)*'Revenue Build_Empty'!F28)-'Revenue Build_Empty'!F27-'Revenue Build_Empty'!F30)))/(1+$F$4)^3+(IF(((('Revenue Build_Empty'!G17*$A59*C$54/1000000)*(1+'Revenue Build_Empty'!G19))-(('Revenue Build_Empty'!G17*$A59*C$54/1000000)*'Revenue Build_Empty'!G28)-'Revenue Build_Empty'!G27-'Revenue Build_Empty'!G30)&gt;0,((('Revenue Build_Empty'!G17*$A59*C$54/1000000)*(1+'Revenue Build_Empty'!G19))-(('Revenue Build_Empty'!G17*$A59*C$54/1000000)*'Revenue Build_Empty'!G28)-'Revenue Build_Empty'!G27-'Revenue Build_Empty'!G30)*(1-23.6%),((('Revenue Build_Empty'!G17*$A59*C$54/1000000)*(1+'Revenue Build_Empty'!G19))-(('Revenue Build_Empty'!G17*$A59*C$54/1000000)*'Revenue Build_Empty'!G28)-'Revenue Build_Empty'!G27-'Revenue Build_Empty'!G30)))/(1+$F$4)^4+(IF(((('Revenue Build_Empty'!H17*$A59*C$54/1000000)*(1+'Revenue Build_Empty'!H19))-(('Revenue Build_Empty'!H17*$A59*C$54/1000000)*'Revenue Build_Empty'!H28)-'Revenue Build_Empty'!H27-'Revenue Build_Empty'!H30)&gt;0,((('Revenue Build_Empty'!H17*$A59*C$54/1000000)*(1+'Revenue Build_Empty'!H19))-(('Revenue Build_Empty'!H17*$A59*C$54/1000000)*'Revenue Build_Empty'!H28)-'Revenue Build_Empty'!H27-'Revenue Build_Empty'!H30)*(1-23.6%),((('Revenue Build_Empty'!H17*$A59*C$54/1000000)*(1+'Revenue Build_Empty'!H19))-(('Revenue Build_Empty'!H17*$A59*C$54/1000000)*'Revenue Build_Empty'!H28)-'Revenue Build_Empty'!H27-'Revenue Build_Empty'!H30)))/(1+$F$4)^5+(IF(((('Revenue Build_Empty'!I17*$A59*C$54/1000000)*(1+'Revenue Build_Empty'!I19))-(('Revenue Build_Empty'!I17*$A59*C$54/1000000)*'Revenue Build_Empty'!I28)-'Revenue Build_Empty'!I27-'Revenue Build_Empty'!I30)&gt;0,((('Revenue Build_Empty'!I17*$A59*C$54/1000000)*(1+'Revenue Build_Empty'!I19))-(('Revenue Build_Empty'!I17*$A59*C$54/1000000)*'Revenue Build_Empty'!I28)-'Revenue Build_Empty'!I27-'Revenue Build_Empty'!I30)*(1-23.6%),((('Revenue Build_Empty'!I17*$A59*C$54/1000000)*(1+'Revenue Build_Empty'!I19))-(('Revenue Build_Empty'!I17*$A59*C$54/1000000)*'Revenue Build_Empty'!I28)-'Revenue Build_Empty'!I27-'Revenue Build_Empty'!I30)))/(1+$F$4)^6</f>
        <v>2.6849561901044972</v>
      </c>
      <c r="D59" s="3">
        <f>$B$17+(IF(((('Revenue Build_Empty'!D17*$A59*D$54/1000000)*(1+'Revenue Build_Empty'!D19))-(('Revenue Build_Empty'!D17*$A59*D$54/1000000)*'Revenue Build_Empty'!D28)-'Revenue Build_Empty'!D27-'Revenue Build_Empty'!D30)&gt;0,((('Revenue Build_Empty'!D17*$A59*D$54/1000000)*(1+'Revenue Build_Empty'!D19))-(('Revenue Build_Empty'!D17*$A59*D$54/1000000)*'Revenue Build_Empty'!D28)-'Revenue Build_Empty'!D27-'Revenue Build_Empty'!D30)*(1-23.6%),((('Revenue Build_Empty'!D17*$A59*D$54/1000000)*(1+'Revenue Build_Empty'!D19))-(('Revenue Build_Empty'!D17*$A59*D$54/1000000)*'Revenue Build_Empty'!D28)-'Revenue Build_Empty'!D27-'Revenue Build_Empty'!D30)))/(1+$F$4)^1+(IF(((('Revenue Build_Empty'!E17*$A59*D$54/1000000)*(1+'Revenue Build_Empty'!E19))-(('Revenue Build_Empty'!E17*$A59*D$54/1000000)*'Revenue Build_Empty'!E28)-'Revenue Build_Empty'!E27-'Revenue Build_Empty'!E30)&gt;0,((('Revenue Build_Empty'!E17*$A59*D$54/1000000)*(1+'Revenue Build_Empty'!E19))-(('Revenue Build_Empty'!E17*$A59*D$54/1000000)*'Revenue Build_Empty'!E28)-'Revenue Build_Empty'!E27-'Revenue Build_Empty'!E30)*(1-23.6%),((('Revenue Build_Empty'!E17*$A59*D$54/1000000)*(1+'Revenue Build_Empty'!E19))-(('Revenue Build_Empty'!E17*$A59*D$54/1000000)*'Revenue Build_Empty'!E28)-'Revenue Build_Empty'!E27-'Revenue Build_Empty'!E30)))/(1+$F$4)^2+(IF(((('Revenue Build_Empty'!F17*$A59*D$54/1000000)*(1+'Revenue Build_Empty'!F19))-(('Revenue Build_Empty'!F17*$A59*D$54/1000000)*'Revenue Build_Empty'!F28)-'Revenue Build_Empty'!F27-'Revenue Build_Empty'!F30)&gt;0,((('Revenue Build_Empty'!F17*$A59*D$54/1000000)*(1+'Revenue Build_Empty'!F19))-(('Revenue Build_Empty'!F17*$A59*D$54/1000000)*'Revenue Build_Empty'!F28)-'Revenue Build_Empty'!F27-'Revenue Build_Empty'!F30)*(1-23.6%),((('Revenue Build_Empty'!F17*$A59*D$54/1000000)*(1+'Revenue Build_Empty'!F19))-(('Revenue Build_Empty'!F17*$A59*D$54/1000000)*'Revenue Build_Empty'!F28)-'Revenue Build_Empty'!F27-'Revenue Build_Empty'!F30)))/(1+$F$4)^3+(IF(((('Revenue Build_Empty'!G17*$A59*D$54/1000000)*(1+'Revenue Build_Empty'!G19))-(('Revenue Build_Empty'!G17*$A59*D$54/1000000)*'Revenue Build_Empty'!G28)-'Revenue Build_Empty'!G27-'Revenue Build_Empty'!G30)&gt;0,((('Revenue Build_Empty'!G17*$A59*D$54/1000000)*(1+'Revenue Build_Empty'!G19))-(('Revenue Build_Empty'!G17*$A59*D$54/1000000)*'Revenue Build_Empty'!G28)-'Revenue Build_Empty'!G27-'Revenue Build_Empty'!G30)*(1-23.6%),((('Revenue Build_Empty'!G17*$A59*D$54/1000000)*(1+'Revenue Build_Empty'!G19))-(('Revenue Build_Empty'!G17*$A59*D$54/1000000)*'Revenue Build_Empty'!G28)-'Revenue Build_Empty'!G27-'Revenue Build_Empty'!G30)))/(1+$F$4)^4+(IF(((('Revenue Build_Empty'!H17*$A59*D$54/1000000)*(1+'Revenue Build_Empty'!H19))-(('Revenue Build_Empty'!H17*$A59*D$54/1000000)*'Revenue Build_Empty'!H28)-'Revenue Build_Empty'!H27-'Revenue Build_Empty'!H30)&gt;0,((('Revenue Build_Empty'!H17*$A59*D$54/1000000)*(1+'Revenue Build_Empty'!H19))-(('Revenue Build_Empty'!H17*$A59*D$54/1000000)*'Revenue Build_Empty'!H28)-'Revenue Build_Empty'!H27-'Revenue Build_Empty'!H30)*(1-23.6%),((('Revenue Build_Empty'!H17*$A59*D$54/1000000)*(1+'Revenue Build_Empty'!H19))-(('Revenue Build_Empty'!H17*$A59*D$54/1000000)*'Revenue Build_Empty'!H28)-'Revenue Build_Empty'!H27-'Revenue Build_Empty'!H30)))/(1+$F$4)^5+(IF(((('Revenue Build_Empty'!I17*$A59*D$54/1000000)*(1+'Revenue Build_Empty'!I19))-(('Revenue Build_Empty'!I17*$A59*D$54/1000000)*'Revenue Build_Empty'!I28)-'Revenue Build_Empty'!I27-'Revenue Build_Empty'!I30)&gt;0,((('Revenue Build_Empty'!I17*$A59*D$54/1000000)*(1+'Revenue Build_Empty'!I19))-(('Revenue Build_Empty'!I17*$A59*D$54/1000000)*'Revenue Build_Empty'!I28)-'Revenue Build_Empty'!I27-'Revenue Build_Empty'!I30)*(1-23.6%),((('Revenue Build_Empty'!I17*$A59*D$54/1000000)*(1+'Revenue Build_Empty'!I19))-(('Revenue Build_Empty'!I17*$A59*D$54/1000000)*'Revenue Build_Empty'!I28)-'Revenue Build_Empty'!I27-'Revenue Build_Empty'!I30)))/(1+$F$4)^6</f>
        <v>54.958537802926116</v>
      </c>
      <c r="E59" s="3">
        <f>$B$17+(IF(((('Revenue Build_Empty'!D17*$A59*E$54/1000000)*(1+'Revenue Build_Empty'!D19))-(('Revenue Build_Empty'!D17*$A59*E$54/1000000)*'Revenue Build_Empty'!D28)-'Revenue Build_Empty'!D27-'Revenue Build_Empty'!D30)&gt;0,((('Revenue Build_Empty'!D17*$A59*E$54/1000000)*(1+'Revenue Build_Empty'!D19))-(('Revenue Build_Empty'!D17*$A59*E$54/1000000)*'Revenue Build_Empty'!D28)-'Revenue Build_Empty'!D27-'Revenue Build_Empty'!D30)*(1-23.6%),((('Revenue Build_Empty'!D17*$A59*E$54/1000000)*(1+'Revenue Build_Empty'!D19))-(('Revenue Build_Empty'!D17*$A59*E$54/1000000)*'Revenue Build_Empty'!D28)-'Revenue Build_Empty'!D27-'Revenue Build_Empty'!D30)))/(1+$F$4)^1+(IF(((('Revenue Build_Empty'!E17*$A59*E$54/1000000)*(1+'Revenue Build_Empty'!E19))-(('Revenue Build_Empty'!E17*$A59*E$54/1000000)*'Revenue Build_Empty'!E28)-'Revenue Build_Empty'!E27-'Revenue Build_Empty'!E30)&gt;0,((('Revenue Build_Empty'!E17*$A59*E$54/1000000)*(1+'Revenue Build_Empty'!E19))-(('Revenue Build_Empty'!E17*$A59*E$54/1000000)*'Revenue Build_Empty'!E28)-'Revenue Build_Empty'!E27-'Revenue Build_Empty'!E30)*(1-23.6%),((('Revenue Build_Empty'!E17*$A59*E$54/1000000)*(1+'Revenue Build_Empty'!E19))-(('Revenue Build_Empty'!E17*$A59*E$54/1000000)*'Revenue Build_Empty'!E28)-'Revenue Build_Empty'!E27-'Revenue Build_Empty'!E30)))/(1+$F$4)^2+(IF(((('Revenue Build_Empty'!F17*$A59*E$54/1000000)*(1+'Revenue Build_Empty'!F19))-(('Revenue Build_Empty'!F17*$A59*E$54/1000000)*'Revenue Build_Empty'!F28)-'Revenue Build_Empty'!F27-'Revenue Build_Empty'!F30)&gt;0,((('Revenue Build_Empty'!F17*$A59*E$54/1000000)*(1+'Revenue Build_Empty'!F19))-(('Revenue Build_Empty'!F17*$A59*E$54/1000000)*'Revenue Build_Empty'!F28)-'Revenue Build_Empty'!F27-'Revenue Build_Empty'!F30)*(1-23.6%),((('Revenue Build_Empty'!F17*$A59*E$54/1000000)*(1+'Revenue Build_Empty'!F19))-(('Revenue Build_Empty'!F17*$A59*E$54/1000000)*'Revenue Build_Empty'!F28)-'Revenue Build_Empty'!F27-'Revenue Build_Empty'!F30)))/(1+$F$4)^3+(IF(((('Revenue Build_Empty'!G17*$A59*E$54/1000000)*(1+'Revenue Build_Empty'!G19))-(('Revenue Build_Empty'!G17*$A59*E$54/1000000)*'Revenue Build_Empty'!G28)-'Revenue Build_Empty'!G27-'Revenue Build_Empty'!G30)&gt;0,((('Revenue Build_Empty'!G17*$A59*E$54/1000000)*(1+'Revenue Build_Empty'!G19))-(('Revenue Build_Empty'!G17*$A59*E$54/1000000)*'Revenue Build_Empty'!G28)-'Revenue Build_Empty'!G27-'Revenue Build_Empty'!G30)*(1-23.6%),((('Revenue Build_Empty'!G17*$A59*E$54/1000000)*(1+'Revenue Build_Empty'!G19))-(('Revenue Build_Empty'!G17*$A59*E$54/1000000)*'Revenue Build_Empty'!G28)-'Revenue Build_Empty'!G27-'Revenue Build_Empty'!G30)))/(1+$F$4)^4+(IF(((('Revenue Build_Empty'!H17*$A59*E$54/1000000)*(1+'Revenue Build_Empty'!H19))-(('Revenue Build_Empty'!H17*$A59*E$54/1000000)*'Revenue Build_Empty'!H28)-'Revenue Build_Empty'!H27-'Revenue Build_Empty'!H30)&gt;0,((('Revenue Build_Empty'!H17*$A59*E$54/1000000)*(1+'Revenue Build_Empty'!H19))-(('Revenue Build_Empty'!H17*$A59*E$54/1000000)*'Revenue Build_Empty'!H28)-'Revenue Build_Empty'!H27-'Revenue Build_Empty'!H30)*(1-23.6%),((('Revenue Build_Empty'!H17*$A59*E$54/1000000)*(1+'Revenue Build_Empty'!H19))-(('Revenue Build_Empty'!H17*$A59*E$54/1000000)*'Revenue Build_Empty'!H28)-'Revenue Build_Empty'!H27-'Revenue Build_Empty'!H30)))/(1+$F$4)^5+(IF(((('Revenue Build_Empty'!I17*$A59*E$54/1000000)*(1+'Revenue Build_Empty'!I19))-(('Revenue Build_Empty'!I17*$A59*E$54/1000000)*'Revenue Build_Empty'!I28)-'Revenue Build_Empty'!I27-'Revenue Build_Empty'!I30)&gt;0,((('Revenue Build_Empty'!I17*$A59*E$54/1000000)*(1+'Revenue Build_Empty'!I19))-(('Revenue Build_Empty'!I17*$A59*E$54/1000000)*'Revenue Build_Empty'!I28)-'Revenue Build_Empty'!I27-'Revenue Build_Empty'!I30)*(1-23.6%),((('Revenue Build_Empty'!I17*$A59*E$54/1000000)*(1+'Revenue Build_Empty'!I19))-(('Revenue Build_Empty'!I17*$A59*E$54/1000000)*'Revenue Build_Empty'!I28)-'Revenue Build_Empty'!I27-'Revenue Build_Empty'!I30)))/(1+$F$4)^6</f>
        <v>106.79696618458813</v>
      </c>
      <c r="F59" s="3">
        <f>$B$17+(IF(((('Revenue Build_Empty'!D17*$A59*F$54/1000000)*(1+'Revenue Build_Empty'!D19))-(('Revenue Build_Empty'!D17*$A59*F$54/1000000)*'Revenue Build_Empty'!D28)-'Revenue Build_Empty'!D27-'Revenue Build_Empty'!D30)&gt;0,((('Revenue Build_Empty'!D17*$A59*F$54/1000000)*(1+'Revenue Build_Empty'!D19))-(('Revenue Build_Empty'!D17*$A59*F$54/1000000)*'Revenue Build_Empty'!D28)-'Revenue Build_Empty'!D27-'Revenue Build_Empty'!D30)*(1-23.6%),((('Revenue Build_Empty'!D17*$A59*F$54/1000000)*(1+'Revenue Build_Empty'!D19))-(('Revenue Build_Empty'!D17*$A59*F$54/1000000)*'Revenue Build_Empty'!D28)-'Revenue Build_Empty'!D27-'Revenue Build_Empty'!D30)))/(1+$F$4)^1+(IF(((('Revenue Build_Empty'!E17*$A59*F$54/1000000)*(1+'Revenue Build_Empty'!E19))-(('Revenue Build_Empty'!E17*$A59*F$54/1000000)*'Revenue Build_Empty'!E28)-'Revenue Build_Empty'!E27-'Revenue Build_Empty'!E30)&gt;0,((('Revenue Build_Empty'!E17*$A59*F$54/1000000)*(1+'Revenue Build_Empty'!E19))-(('Revenue Build_Empty'!E17*$A59*F$54/1000000)*'Revenue Build_Empty'!E28)-'Revenue Build_Empty'!E27-'Revenue Build_Empty'!E30)*(1-23.6%),((('Revenue Build_Empty'!E17*$A59*F$54/1000000)*(1+'Revenue Build_Empty'!E19))-(('Revenue Build_Empty'!E17*$A59*F$54/1000000)*'Revenue Build_Empty'!E28)-'Revenue Build_Empty'!E27-'Revenue Build_Empty'!E30)))/(1+$F$4)^2+(IF(((('Revenue Build_Empty'!F17*$A59*F$54/1000000)*(1+'Revenue Build_Empty'!F19))-(('Revenue Build_Empty'!F17*$A59*F$54/1000000)*'Revenue Build_Empty'!F28)-'Revenue Build_Empty'!F27-'Revenue Build_Empty'!F30)&gt;0,((('Revenue Build_Empty'!F17*$A59*F$54/1000000)*(1+'Revenue Build_Empty'!F19))-(('Revenue Build_Empty'!F17*$A59*F$54/1000000)*'Revenue Build_Empty'!F28)-'Revenue Build_Empty'!F27-'Revenue Build_Empty'!F30)*(1-23.6%),((('Revenue Build_Empty'!F17*$A59*F$54/1000000)*(1+'Revenue Build_Empty'!F19))-(('Revenue Build_Empty'!F17*$A59*F$54/1000000)*'Revenue Build_Empty'!F28)-'Revenue Build_Empty'!F27-'Revenue Build_Empty'!F30)))/(1+$F$4)^3+(IF(((('Revenue Build_Empty'!G17*$A59*F$54/1000000)*(1+'Revenue Build_Empty'!G19))-(('Revenue Build_Empty'!G17*$A59*F$54/1000000)*'Revenue Build_Empty'!G28)-'Revenue Build_Empty'!G27-'Revenue Build_Empty'!G30)&gt;0,((('Revenue Build_Empty'!G17*$A59*F$54/1000000)*(1+'Revenue Build_Empty'!G19))-(('Revenue Build_Empty'!G17*$A59*F$54/1000000)*'Revenue Build_Empty'!G28)-'Revenue Build_Empty'!G27-'Revenue Build_Empty'!G30)*(1-23.6%),((('Revenue Build_Empty'!G17*$A59*F$54/1000000)*(1+'Revenue Build_Empty'!G19))-(('Revenue Build_Empty'!G17*$A59*F$54/1000000)*'Revenue Build_Empty'!G28)-'Revenue Build_Empty'!G27-'Revenue Build_Empty'!G30)))/(1+$F$4)^4+(IF(((('Revenue Build_Empty'!H17*$A59*F$54/1000000)*(1+'Revenue Build_Empty'!H19))-(('Revenue Build_Empty'!H17*$A59*F$54/1000000)*'Revenue Build_Empty'!H28)-'Revenue Build_Empty'!H27-'Revenue Build_Empty'!H30)&gt;0,((('Revenue Build_Empty'!H17*$A59*F$54/1000000)*(1+'Revenue Build_Empty'!H19))-(('Revenue Build_Empty'!H17*$A59*F$54/1000000)*'Revenue Build_Empty'!H28)-'Revenue Build_Empty'!H27-'Revenue Build_Empty'!H30)*(1-23.6%),((('Revenue Build_Empty'!H17*$A59*F$54/1000000)*(1+'Revenue Build_Empty'!H19))-(('Revenue Build_Empty'!H17*$A59*F$54/1000000)*'Revenue Build_Empty'!H28)-'Revenue Build_Empty'!H27-'Revenue Build_Empty'!H30)))/(1+$F$4)^5+(IF(((('Revenue Build_Empty'!I17*$A59*F$54/1000000)*(1+'Revenue Build_Empty'!I19))-(('Revenue Build_Empty'!I17*$A59*F$54/1000000)*'Revenue Build_Empty'!I28)-'Revenue Build_Empty'!I27-'Revenue Build_Empty'!I30)&gt;0,((('Revenue Build_Empty'!I17*$A59*F$54/1000000)*(1+'Revenue Build_Empty'!I19))-(('Revenue Build_Empty'!I17*$A59*F$54/1000000)*'Revenue Build_Empty'!I28)-'Revenue Build_Empty'!I27-'Revenue Build_Empty'!I30)*(1-23.6%),((('Revenue Build_Empty'!I17*$A59*F$54/1000000)*(1+'Revenue Build_Empty'!I19))-(('Revenue Build_Empty'!I17*$A59*F$54/1000000)*'Revenue Build_Empty'!I28)-'Revenue Build_Empty'!I27-'Revenue Build_Empty'!I30)))/(1+$F$4)^6</f>
        <v>157.77210276686174</v>
      </c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8" t="s">
        <v>295</v>
      </c>
      <c r="B63" s="8"/>
      <c r="C63" s="8"/>
      <c r="D63" s="8"/>
      <c r="E63" s="8"/>
      <c r="F63" s="8"/>
      <c r="G63" s="3"/>
      <c r="H63" s="3"/>
    </row>
    <row r="64" spans="1:8">
      <c r="A64" s="3" t="s">
        <v>296</v>
      </c>
      <c r="B64" s="26">
        <v>0.01</v>
      </c>
      <c r="C64" s="26">
        <v>1.4999999999999999E-2</v>
      </c>
      <c r="D64" s="26">
        <v>0.02</v>
      </c>
      <c r="E64" s="26">
        <v>2.5000000000000001E-2</v>
      </c>
      <c r="F64" s="26">
        <v>0.03</v>
      </c>
      <c r="G64" s="3"/>
      <c r="H64" s="3"/>
    </row>
    <row r="65" spans="1:8">
      <c r="A65" s="43">
        <v>7.0000000000000007E-2</v>
      </c>
      <c r="B65" s="3">
        <f>$B$17+C17/(1+$A65)^1+D17/(1+$A65)^2+E17/(1+$A65)^3+F17/(1+$A65)^4+G17/(1+$A65)^5+H17/(1+$A65)^6+IF(H17&gt;0,H17*(1+B$64)/($A65-B$64)/(1+$A65)^6,0)</f>
        <v>499.61428450770865</v>
      </c>
      <c r="C65" s="3">
        <f>$B$17+C17/(1+$A65)^1+D17/(1+$A65)^2+E17/(1+$A65)^3+F17/(1+$A65)^4+G17/(1+$A65)^5+H17/(1+$A65)^6+IF(H17&gt;0,H17*(1+C$64)/($A65-C$64)/(1+$A65)^6,0)</f>
        <v>546.06820799820673</v>
      </c>
      <c r="D65" s="3">
        <f>$B$17+C17/(1+$A65)^1+D17/(1+$A65)^2+E17/(1+$A65)^3+F17/(1+$A65)^4+G17/(1+$A65)^5+H17/(1+$A65)^6+IF(H17&gt;0,H17*(1+D$64)/($A65-D$64)/(1+$A65)^6,0)</f>
        <v>601.81291618680461</v>
      </c>
      <c r="E65" s="3">
        <f>$B$17+C17/(1+$A65)^1+D17/(1+$A65)^2+E17/(1+$A65)^3+F17/(1+$A65)^4+G17/(1+$A65)^5+H17/(1+$A65)^6+IF(H17&gt;0,H17*(1+E$64)/($A65-E$64)/(1+$A65)^6,0)</f>
        <v>669.94533730620185</v>
      </c>
      <c r="F65" s="3">
        <f>$B$17+C17/(1+$A65)^1+D17/(1+$A65)^2+E17/(1+$A65)^3+F17/(1+$A65)^4+G17/(1+$A65)^5+H17/(1+$A65)^6+IF(H17&gt;0,H17*(1+F$64)/($A65-F$64)/(1+$A65)^6,0)</f>
        <v>755.11086370544842</v>
      </c>
      <c r="G65" s="3"/>
      <c r="H65" s="3"/>
    </row>
    <row r="66" spans="1:8">
      <c r="A66" s="43">
        <v>0.08</v>
      </c>
      <c r="B66" s="3">
        <f>$B$17+C17/(1+$A66)^1+D17/(1+$A66)^2+E17/(1+$A66)^3+F17/(1+$A66)^4+G17/(1+$A66)^5+H17/(1+$A66)^6+IF(H17&gt;0,H17*(1+B$64)/($A66-B$64)/(1+$A66)^6,0)</f>
        <v>405.76623898065782</v>
      </c>
      <c r="C66" s="3">
        <f>$B$17+C17/(1+$A66)^1+D17/(1+$A66)^2+E17/(1+$A66)^3+F17/(1+$A66)^4+G17/(1+$A66)^5+H17/(1+$A66)^6+IF(H17&gt;0,H17*(1+C$64)/($A66-C$64)/(1+$A66)^6,0)</f>
        <v>437.92690651805339</v>
      </c>
      <c r="D66" s="3">
        <f>$B$17+C17/(1+$A66)^1+D17/(1+$A66)^2+E17/(1+$A66)^3+F17/(1+$A66)^4+G17/(1+$A66)^5+H17/(1+$A66)^6+IF(H17&gt;0,H17*(1+D$64)/($A66-D$64)/(1+$A66)^6,0)</f>
        <v>475.44768531168165</v>
      </c>
      <c r="E66" s="3">
        <f>$B$17+C17/(1+$A66)^1+D17/(1+$A66)^2+E17/(1+$A66)^3+F17/(1+$A66)^4+G17/(1+$A66)^5+H17/(1+$A66)^6+IF(H17&gt;0,H17*(1+E$64)/($A66-E$64)/(1+$A66)^6,0)</f>
        <v>519.7904238859694</v>
      </c>
      <c r="F66" s="3">
        <f>$B$17+C17/(1+$A66)^1+D17/(1+$A66)^2+E17/(1+$A66)^3+F17/(1+$A66)^4+G17/(1+$A66)^5+H17/(1+$A66)^6+IF(H17&gt;0,H17*(1+F$64)/($A66-F$64)/(1+$A66)^6,0)</f>
        <v>573.00171017511491</v>
      </c>
      <c r="G66" s="3"/>
      <c r="H66" s="3"/>
    </row>
    <row r="67" spans="1:8">
      <c r="A67" s="43">
        <v>0.09</v>
      </c>
      <c r="B67" s="3">
        <f>$B$17+C17/(1+$A67)^1+D17/(1+$A67)^2+E17/(1+$A67)^3+F17/(1+$A67)^4+G17/(1+$A67)^5+H17/(1+$A67)^6+IF(H17&gt;0,H17*(1+B$64)/($A67-B$64)/(1+$A67)^6,0)</f>
        <v>336.14184358907261</v>
      </c>
      <c r="C67" s="3">
        <f>$B$17+C17/(1+$A67)^1+D17/(1+$A67)^2+E17/(1+$A67)^3+F17/(1+$A67)^4+G17/(1+$A67)^5+H17/(1+$A67)^6+IF(H17&gt;0,H17*(1+C$64)/($A67-C$64)/(1+$A67)^6,0)</f>
        <v>359.43195084370774</v>
      </c>
      <c r="D67" s="3">
        <f>$B$17+C17/(1+$A67)^1+D17/(1+$A67)^2+E17/(1+$A67)^3+F17/(1+$A67)^4+G17/(1+$A67)^5+H17/(1+$A67)^6+IF(H17&gt;0,H17*(1+D$64)/($A67-D$64)/(1+$A67)^6,0)</f>
        <v>386.04921627757659</v>
      </c>
      <c r="E67" s="3">
        <f>$B$17+C17/(1+$A67)^1+D17/(1+$A67)^2+E17/(1+$A67)^3+F17/(1+$A67)^4+G17/(1+$A67)^5+H17/(1+$A67)^6+IF(H17&gt;0,H17*(1+E$64)/($A67-E$64)/(1+$A67)^6,0)</f>
        <v>416.76144562434814</v>
      </c>
      <c r="F67" s="3">
        <f>$B$17+C17/(1+$A67)^1+D17/(1+$A67)^2+E17/(1+$A67)^3+F17/(1+$A67)^4+G17/(1+$A67)^5+H17/(1+$A67)^6+IF(H17&gt;0,H17*(1+F$64)/($A67-F$64)/(1+$A67)^6,0)</f>
        <v>452.59237986224849</v>
      </c>
      <c r="G67" s="3"/>
      <c r="H67" s="3"/>
    </row>
    <row r="68" spans="1:8">
      <c r="A68" s="43">
        <v>0.1</v>
      </c>
      <c r="B68" s="3">
        <f>$B$17+C17/(1+$A68)^1+D17/(1+$A68)^2+E17/(1+$A68)^3+F17/(1+$A68)^4+G17/(1+$A68)^5+H17/(1+$A68)^6+IF(H17&gt;0,H17*(1+B$64)/($A68-B$64)/(1+$A68)^6,0)</f>
        <v>282.62946074742922</v>
      </c>
      <c r="C68" s="3">
        <f>$B$17+C17/(1+$A68)^1+D17/(1+$A68)^2+E17/(1+$A68)^3+F17/(1+$A68)^4+G17/(1+$A68)^5+H17/(1+$A68)^6+IF(H17&gt;0,H17*(1+C$64)/($A68-C$64)/(1+$A68)^6,0)</f>
        <v>300.08086455152045</v>
      </c>
      <c r="D68" s="3">
        <f>$B$17+C17/(1+$A68)^1+D17/(1+$A68)^2+E17/(1+$A68)^3+F17/(1+$A68)^4+G17/(1+$A68)^5+H17/(1+$A68)^6+IF(H17&gt;0,H17*(1+D$64)/($A68-D$64)/(1+$A68)^6,0)</f>
        <v>319.71369383112318</v>
      </c>
      <c r="E68" s="3">
        <f>$B$17+C17/(1+$A68)^1+D17/(1+$A68)^2+E17/(1+$A68)^3+F17/(1+$A68)^4+G17/(1+$A68)^5+H17/(1+$A68)^6+IF(H17&gt;0,H17*(1+E$64)/($A68-E$64)/(1+$A68)^6,0)</f>
        <v>341.96423368133946</v>
      </c>
      <c r="F68" s="3">
        <f>$B$17+C17/(1+$A68)^1+D17/(1+$A68)^2+E17/(1+$A68)^3+F17/(1+$A68)^4+G17/(1+$A68)^5+H17/(1+$A68)^6+IF(H17&gt;0,H17*(1+F$64)/($A68-F$64)/(1+$A68)^6,0)</f>
        <v>367.39342208158678</v>
      </c>
      <c r="G68" s="3"/>
      <c r="H68" s="3"/>
    </row>
    <row r="69" spans="1:8">
      <c r="A69" s="43">
        <v>0.11</v>
      </c>
      <c r="B69" s="3">
        <f>$B$17+C17/(1+$A69)^1+D17/(1+$A69)^2+E17/(1+$A69)^3+F17/(1+$A69)^4+G17/(1+$A69)^5+H17/(1+$A69)^6+IF(H17&gt;0,H17*(1+B$64)/($A69-B$64)/(1+$A69)^6,0)</f>
        <v>240.36426714635692</v>
      </c>
      <c r="C69" s="3">
        <f>$B$17+C17/(1+$A69)^1+D17/(1+$A69)^2+E17/(1+$A69)^3+F17/(1+$A69)^4+G17/(1+$A69)^5+H17/(1+$A69)^6+IF(H17&gt;0,H17*(1+C$64)/($A69-C$64)/(1+$A69)^6,0)</f>
        <v>253.79552631805385</v>
      </c>
      <c r="D69" s="3">
        <f>$B$17+C17/(1+$A69)^1+D17/(1+$A69)^2+E17/(1+$A69)^3+F17/(1+$A69)^4+G17/(1+$A69)^5+H17/(1+$A69)^6+IF(H17&gt;0,H17*(1+D$64)/($A69-D$64)/(1+$A69)^6,0)</f>
        <v>268.71914761993941</v>
      </c>
      <c r="E69" s="3">
        <f>$B$17+C17/(1+$A69)^1+D17/(1+$A69)^2+E17/(1+$A69)^3+F17/(1+$A69)^4+G17/(1+$A69)^5+H17/(1+$A69)^6+IF(H17&gt;0,H17*(1+E$64)/($A69-E$64)/(1+$A69)^6,0)</f>
        <v>285.39848907498799</v>
      </c>
      <c r="F69" s="3">
        <f>$B$17+C17/(1+$A69)^1+D17/(1+$A69)^2+E17/(1+$A69)^3+F17/(1+$A69)^4+G17/(1+$A69)^5+H17/(1+$A69)^6+IF(H17&gt;0,H17*(1+F$64)/($A69-F$64)/(1+$A69)^6,0)</f>
        <v>304.16274821191757</v>
      </c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</sheetData>
  <conditionalFormatting sqref="B55:F5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65:F6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workbookViewId="0"/>
  </sheetViews>
  <sheetFormatPr baseColWidth="10" defaultColWidth="8.83203125" defaultRowHeight="15"/>
  <cols>
    <col min="2" max="2" width="40" customWidth="1"/>
    <col min="5" max="5" width="35" customWidth="1"/>
  </cols>
  <sheetData>
    <row r="1" spans="1:5">
      <c r="A1" s="3"/>
      <c r="B1" s="3"/>
      <c r="C1" s="3"/>
      <c r="D1" s="3"/>
      <c r="E1" s="3"/>
    </row>
    <row r="2" spans="1:5" ht="18">
      <c r="A2" s="3"/>
      <c r="B2" s="5" t="s">
        <v>297</v>
      </c>
      <c r="C2" s="3"/>
      <c r="D2" s="3"/>
      <c r="E2" s="3"/>
    </row>
    <row r="3" spans="1:5">
      <c r="A3" s="3"/>
      <c r="B3" s="3" t="s">
        <v>213</v>
      </c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8" t="s">
        <v>298</v>
      </c>
      <c r="C6" s="8"/>
      <c r="D6" s="8"/>
      <c r="E6" s="8"/>
    </row>
    <row r="7" spans="1:5">
      <c r="A7" s="3"/>
      <c r="B7" s="3"/>
      <c r="C7" s="3" t="s">
        <v>299</v>
      </c>
      <c r="D7" s="3" t="s">
        <v>251</v>
      </c>
      <c r="E7" s="3" t="s">
        <v>300</v>
      </c>
    </row>
    <row r="8" spans="1:5">
      <c r="A8" s="3"/>
      <c r="B8" s="3" t="s">
        <v>301</v>
      </c>
      <c r="C8" s="3"/>
      <c r="D8" s="6">
        <v>231</v>
      </c>
      <c r="E8" s="3" t="s">
        <v>302</v>
      </c>
    </row>
    <row r="9" spans="1:5">
      <c r="A9" s="3"/>
      <c r="B9" s="3" t="s">
        <v>303</v>
      </c>
      <c r="C9" s="3"/>
      <c r="D9" s="6">
        <v>0.8</v>
      </c>
      <c r="E9" s="3" t="s">
        <v>304</v>
      </c>
    </row>
    <row r="10" spans="1:5">
      <c r="A10" s="3"/>
      <c r="B10" s="3" t="s">
        <v>305</v>
      </c>
      <c r="C10" s="3"/>
      <c r="D10" s="3">
        <f>D8+D9</f>
        <v>231.8</v>
      </c>
      <c r="E10" s="3" t="s">
        <v>306</v>
      </c>
    </row>
    <row r="11" spans="1:5">
      <c r="A11" s="3"/>
      <c r="B11" s="3" t="s">
        <v>307</v>
      </c>
      <c r="C11" s="3"/>
      <c r="D11" s="3">
        <f>Forecast!D220</f>
        <v>228</v>
      </c>
      <c r="E11" s="3" t="s">
        <v>308</v>
      </c>
    </row>
    <row r="12" spans="1:5">
      <c r="A12" s="3"/>
      <c r="B12" s="3" t="s">
        <v>309</v>
      </c>
      <c r="C12" s="3"/>
      <c r="D12" s="3">
        <f>D11</f>
        <v>228</v>
      </c>
      <c r="E12" s="3" t="s">
        <v>310</v>
      </c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8" t="s">
        <v>311</v>
      </c>
      <c r="C15" s="8"/>
      <c r="D15" s="8"/>
      <c r="E15" s="8"/>
    </row>
    <row r="16" spans="1:5">
      <c r="A16" s="3"/>
      <c r="B16" s="3" t="s">
        <v>312</v>
      </c>
      <c r="C16" s="3"/>
      <c r="D16" s="6">
        <v>1096</v>
      </c>
      <c r="E16" s="3" t="s">
        <v>313</v>
      </c>
    </row>
    <row r="17" spans="1:5">
      <c r="A17" s="3"/>
      <c r="B17" s="3" t="s">
        <v>314</v>
      </c>
      <c r="C17" s="3"/>
      <c r="D17" s="6">
        <v>26</v>
      </c>
      <c r="E17" s="3" t="s">
        <v>315</v>
      </c>
    </row>
    <row r="18" spans="1:5">
      <c r="A18" s="3"/>
      <c r="B18" s="3" t="s">
        <v>316</v>
      </c>
      <c r="C18" s="3"/>
      <c r="D18" s="3">
        <f>D10-D8</f>
        <v>0.80000000000001137</v>
      </c>
      <c r="E18" s="3" t="s">
        <v>317</v>
      </c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8" t="s">
        <v>318</v>
      </c>
      <c r="C21" s="8"/>
      <c r="D21" s="8"/>
      <c r="E21" s="8"/>
    </row>
    <row r="22" spans="1:5">
      <c r="A22" s="3"/>
      <c r="B22" s="3" t="s">
        <v>319</v>
      </c>
      <c r="C22" s="3"/>
      <c r="D22" s="3">
        <v>0</v>
      </c>
      <c r="E22" s="3" t="s">
        <v>320</v>
      </c>
    </row>
    <row r="23" spans="1:5">
      <c r="A23" s="3"/>
      <c r="B23" s="3" t="s">
        <v>321</v>
      </c>
      <c r="C23" s="3"/>
      <c r="D23" s="3">
        <v>0</v>
      </c>
      <c r="E23" s="3"/>
    </row>
    <row r="24" spans="1:5">
      <c r="A24" s="3"/>
      <c r="B24" s="3" t="s">
        <v>322</v>
      </c>
      <c r="C24" s="3"/>
      <c r="D24" s="3">
        <v>0</v>
      </c>
      <c r="E24" s="3"/>
    </row>
    <row r="25" spans="1:5">
      <c r="A25" s="3"/>
      <c r="B25" s="3" t="s">
        <v>323</v>
      </c>
      <c r="C25" s="3"/>
      <c r="D25" s="3">
        <v>0</v>
      </c>
      <c r="E25" s="3"/>
    </row>
    <row r="26" spans="1:5">
      <c r="A26" s="3"/>
      <c r="B26" s="3" t="s">
        <v>324</v>
      </c>
      <c r="C26" s="3"/>
      <c r="D26" s="3">
        <v>0</v>
      </c>
      <c r="E26" s="3"/>
    </row>
    <row r="27" spans="1:5">
      <c r="A27" s="3"/>
      <c r="B27" s="3" t="s">
        <v>325</v>
      </c>
      <c r="C27" s="3"/>
      <c r="D27" s="3">
        <v>0</v>
      </c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/>
  </sheetViews>
  <sheetFormatPr baseColWidth="10" defaultColWidth="8.83203125" defaultRowHeight="15"/>
  <cols>
    <col min="2" max="2" width="34" customWidth="1"/>
    <col min="5" max="5" width="38" customWidth="1"/>
  </cols>
  <sheetData>
    <row r="1" spans="1:5">
      <c r="A1" s="3"/>
      <c r="B1" s="3"/>
      <c r="C1" s="3"/>
      <c r="D1" s="3"/>
      <c r="E1" s="3"/>
    </row>
    <row r="2" spans="1:5" ht="18">
      <c r="A2" s="3"/>
      <c r="B2" s="5" t="s">
        <v>326</v>
      </c>
      <c r="C2" s="3"/>
      <c r="D2" s="3"/>
      <c r="E2" s="3"/>
    </row>
    <row r="3" spans="1:5">
      <c r="A3" s="3"/>
      <c r="B3" s="3" t="s">
        <v>213</v>
      </c>
      <c r="C3" s="3"/>
      <c r="D3" s="3"/>
      <c r="E3" s="3"/>
    </row>
    <row r="4" spans="1:5">
      <c r="A4" s="3"/>
      <c r="B4" s="8" t="s">
        <v>327</v>
      </c>
      <c r="C4" s="8"/>
      <c r="D4" s="8"/>
      <c r="E4" s="8"/>
    </row>
    <row r="5" spans="1:5">
      <c r="A5" s="3"/>
      <c r="B5" s="3"/>
      <c r="C5" s="3"/>
      <c r="D5" s="3"/>
      <c r="E5" s="3" t="s">
        <v>328</v>
      </c>
    </row>
    <row r="6" spans="1:5">
      <c r="A6" s="3"/>
      <c r="B6" s="3" t="s">
        <v>329</v>
      </c>
      <c r="C6" s="16">
        <v>3.7999999999999999E-2</v>
      </c>
      <c r="D6" s="3"/>
      <c r="E6" s="3" t="s">
        <v>330</v>
      </c>
    </row>
    <row r="7" spans="1:5">
      <c r="A7" s="3"/>
      <c r="B7" s="3" t="s">
        <v>167</v>
      </c>
      <c r="C7" s="16">
        <v>0.23599999999999999</v>
      </c>
      <c r="D7" s="3"/>
      <c r="E7" s="3" t="s">
        <v>331</v>
      </c>
    </row>
    <row r="8" spans="1:5">
      <c r="A8" s="3"/>
      <c r="B8" s="3" t="s">
        <v>332</v>
      </c>
      <c r="C8" s="26">
        <f>C6*(1-C7)</f>
        <v>2.9031999999999999E-2</v>
      </c>
      <c r="D8" s="3"/>
      <c r="E8" s="3" t="s">
        <v>333</v>
      </c>
    </row>
    <row r="9" spans="1:5">
      <c r="A9" s="3"/>
      <c r="B9" s="3"/>
      <c r="C9" s="26"/>
      <c r="D9" s="3"/>
      <c r="E9" s="3"/>
    </row>
    <row r="10" spans="1:5">
      <c r="A10" s="3"/>
      <c r="B10" s="3" t="s">
        <v>334</v>
      </c>
      <c r="C10" s="16">
        <v>0.03</v>
      </c>
      <c r="D10" s="3"/>
      <c r="E10" s="3" t="s">
        <v>335</v>
      </c>
    </row>
    <row r="11" spans="1:5">
      <c r="A11" s="3"/>
      <c r="B11" s="3" t="s">
        <v>336</v>
      </c>
      <c r="C11" s="16">
        <v>1.05</v>
      </c>
      <c r="D11" s="3"/>
      <c r="E11" s="3" t="s">
        <v>337</v>
      </c>
    </row>
    <row r="12" spans="1:5">
      <c r="A12" s="3"/>
      <c r="B12" s="3" t="s">
        <v>338</v>
      </c>
      <c r="C12" s="16">
        <v>0.05</v>
      </c>
      <c r="D12" s="3"/>
      <c r="E12" s="3" t="s">
        <v>339</v>
      </c>
    </row>
    <row r="13" spans="1:5">
      <c r="A13" s="3"/>
      <c r="B13" s="3" t="s">
        <v>340</v>
      </c>
      <c r="C13" s="26">
        <f>C10+C11*C12</f>
        <v>8.2500000000000004E-2</v>
      </c>
      <c r="D13" s="3"/>
      <c r="E13" s="3" t="s">
        <v>341</v>
      </c>
    </row>
    <row r="14" spans="1:5">
      <c r="A14" s="3"/>
      <c r="B14" s="3"/>
      <c r="C14" s="3"/>
      <c r="D14" s="3"/>
      <c r="E14" s="3"/>
    </row>
    <row r="15" spans="1:5">
      <c r="A15" s="3"/>
      <c r="B15" s="8" t="s">
        <v>342</v>
      </c>
      <c r="C15" s="8"/>
      <c r="D15" s="8"/>
      <c r="E15" s="8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 t="s">
        <v>343</v>
      </c>
      <c r="D17" s="3" t="s">
        <v>344</v>
      </c>
      <c r="E17" s="3" t="s">
        <v>345</v>
      </c>
    </row>
    <row r="18" spans="1:5">
      <c r="A18" s="3"/>
      <c r="B18" s="3" t="s">
        <v>346</v>
      </c>
      <c r="C18" s="3"/>
      <c r="D18" s="16">
        <v>0.95</v>
      </c>
      <c r="E18" s="26">
        <f>D18/SUM($D$18:$D$19)</f>
        <v>0.95</v>
      </c>
    </row>
    <row r="19" spans="1:5">
      <c r="A19" s="3"/>
      <c r="B19" s="3" t="s">
        <v>347</v>
      </c>
      <c r="C19" s="3"/>
      <c r="D19" s="16">
        <v>0.05</v>
      </c>
      <c r="E19" s="26">
        <f>D19/SUM($D$18:$D$19)</f>
        <v>0.05</v>
      </c>
    </row>
    <row r="20" spans="1:5">
      <c r="A20" s="3"/>
      <c r="B20" s="3"/>
      <c r="C20" s="3"/>
      <c r="D20" s="3"/>
      <c r="E20" s="3"/>
    </row>
    <row r="21" spans="1:5">
      <c r="A21" s="3"/>
      <c r="B21" s="12" t="s">
        <v>348</v>
      </c>
      <c r="C21" s="12"/>
      <c r="D21" s="12"/>
      <c r="E21" s="39">
        <f>C13*E18+C8*E19</f>
        <v>7.9826599999999998E-2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 Events_MD&amp;A</vt:lpstr>
      <vt:lpstr>Historical Data</vt:lpstr>
      <vt:lpstr>Forecast</vt:lpstr>
      <vt:lpstr>Revenue Build_Empty</vt:lpstr>
      <vt:lpstr>Integrated DCF</vt:lpstr>
      <vt:lpstr>DCF</vt:lpstr>
      <vt:lpstr>Shares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Kaki, Vinay Datta</cp:lastModifiedBy>
  <dcterms:created xsi:type="dcterms:W3CDTF">2026-08-26T04:33:30Z</dcterms:created>
  <dcterms:modified xsi:type="dcterms:W3CDTF">2026-08-26T04:33:30Z</dcterms:modified>
</cp:coreProperties>
</file>